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TongQuan" sheetId="1" state="visible" r:id="rId3"/>
    <sheet name="2_VaiTro" sheetId="2" state="visible" r:id="rId4"/>
    <sheet name="3_LogicHeThong" sheetId="3" state="visible" r:id="rId5"/>
    <sheet name="4_KienTruc_HaTang" sheetId="4" state="visible" r:id="rId6"/>
    <sheet name="5_DataDictionary" sheetId="5" state="visible" r:id="rId7"/>
    <sheet name="6_PhanCongChiTiet" sheetId="6" state="visible" r:id="rId8"/>
    <sheet name="7_API_Contract" sheetId="7" state="visible" r:id="rId9"/>
    <sheet name="8_Timeline_Workload" sheetId="8" state="visible" r:id="rId10"/>
    <sheet name="9_QuyUoc_RuiRo" sheetId="9" state="visible" r:id="rId11"/>
  </sheets>
  <definedNames>
    <definedName function="false" hidden="true" localSheetId="4" name="_xlnm._FilterDatabase" vbProcedure="false">5_DataDictionary!$A$5:$H$43</definedName>
    <definedName function="false" hidden="true" localSheetId="5" name="_xlnm._FilterDatabase" vbProcedure="false">6_PhanCongChiTiet!$A$5:$N$78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<sst xmlns="http://schemas.openxmlformats.org/spreadsheetml/2006/main" count="2029" uniqueCount="1362">
  <si>
    <t xml:space="preserve">ĐỀ ÁN 02 – TỐI ƯU DANH MỤC VÀ MÔ HÌNH NHÂN TỐ TRÊN THỊ TRƯỜNG VIỆT NAM</t>
  </si>
  <si>
    <t xml:space="preserve">Portfolio Optimization &amp; Factor Models on VN30 · Kế hoạch phân công cho 4 thành viên (2 BE + 2 FE)</t>
  </si>
  <si>
    <t xml:space="preserve">A. THÔNG TIN CHUNG</t>
  </si>
  <si>
    <t xml:space="preserve">Tên đề tài</t>
  </si>
  <si>
    <t xml:space="preserve">Kiểm định và mở rộng mô hình định giá tài sản Fama-French trong tối ưu hoá danh mục đầu tư: nghiên cứu thực nghiệm trên VN30</t>
  </si>
  <si>
    <t xml:space="preserve">Sản phẩm</t>
  </si>
  <si>
    <t xml:space="preserve">Hệ thống web gồm: (1) Pipeline dữ liệu &amp; nhân tố, (2) Engine hồi quy CAPM/FF3/FF5/mở rộng, (3) Engine tối ưu Markowitz + Backtest, (4) Dashboard hiển thị kết quả, (5) Báo cáo nghiên cứu 5 chương.</t>
  </si>
  <si>
    <t xml:space="preserve">Phạm vi</t>
  </si>
  <si>
    <t xml:space="preserve">30 cổ phiếu VN30 · 2021-2025 · dữ liệu ngày · Train 2021-2024 · Test 2025 (out-of-sample)</t>
  </si>
  <si>
    <t xml:space="preserve">Luồng chính</t>
  </si>
  <si>
    <t xml:space="preserve">Data → Factors → Regression (FF5 &amp; mở rộng) → E(R) → Markowitz (μ, Σ) → Backtest → So sánh với VN30 (Sharpe, Max Drawdown)</t>
  </si>
  <si>
    <t xml:space="preserve">Công thức mô hình mở rộng</t>
  </si>
  <si>
    <t xml:space="preserve">Ri − Rf = α + β·MKT + s·SMB + h·HML + r·RMW + c·CMA + l·LIQ + f·FOR + v·VOL + ε</t>
  </si>
  <si>
    <t xml:space="preserve">Thời gian dự kiến</t>
  </si>
  <si>
    <t xml:space="preserve">8 tuần (đổi ở sheet 8, ô Số tuần)</t>
  </si>
  <si>
    <t xml:space="preserve">Lưu ý</t>
  </si>
  <si>
    <t xml:space="preserve">Khung đề cương chỉ mang tính tham khảo; tự tìm thêm nghiên cứu chính thống và NHỚ TRÍCH NGUỒN (Markowitz 1952, Journal of Finance; Fama &amp; French 1993, 2015, JFE; Ken French Data Library).</t>
  </si>
  <si>
    <t xml:space="preserve">B. MỤC TIÊU, CÂU HỎI NGHIÊN CỨU &amp; GIẢ THUYẾT → HỆ THỐNG PHẢI TRẢ LỜI ĐƯỢC</t>
  </si>
  <si>
    <t xml:space="preserve">Mã</t>
  </si>
  <si>
    <t xml:space="preserve">Nội dung</t>
  </si>
  <si>
    <t xml:space="preserve">Module chịu trách nhiệm tạo số liệu</t>
  </si>
  <si>
    <t xml:space="preserve">Trang UI hiển thị</t>
  </si>
  <si>
    <t xml:space="preserve">RQ1</t>
  </si>
  <si>
    <t xml:space="preserve">CAPM, FF3, FF5 giải thích lợi suất VN30 đến mức nào?</t>
  </si>
  <si>
    <t xml:space="preserve">BE2: B2-03, B2-06 · BE1: B1-13, B1-14</t>
  </si>
  <si>
    <t xml:space="preserve">FE1: /regression, /models</t>
  </si>
  <si>
    <t xml:space="preserve">RQ2</t>
  </si>
  <si>
    <t xml:space="preserve">Nhân tố nào còn thiếu trong thị trường Việt Nam? (thanh khoản, room ngoại, biến động giá)</t>
  </si>
  <si>
    <t xml:space="preserve">BE2: B2-04, B2-05 · BE1: B1-15..B1-17</t>
  </si>
  <si>
    <t xml:space="preserve">FE1: /factors, /regression</t>
  </si>
  <si>
    <t xml:space="preserve">RQ3</t>
  </si>
  <si>
    <t xml:space="preserve">Mô hình mở rộng có cải thiện khả năng giải thích không?</t>
  </si>
  <si>
    <t xml:space="preserve">BE2: B2-04, B2-08, B2-09</t>
  </si>
  <si>
    <t xml:space="preserve">FE1: /models</t>
  </si>
  <si>
    <t xml:space="preserve">RQ4</t>
  </si>
  <si>
    <t xml:space="preserve">Danh mục tối ưu có vượt VN30 về Sharpe và Drawdown không?</t>
  </si>
  <si>
    <t xml:space="preserve">BE2: B2-12..B2-16</t>
  </si>
  <si>
    <t xml:space="preserve">FE2: /frontier, /weights, /backtest</t>
  </si>
  <si>
    <t xml:space="preserve">H1</t>
  </si>
  <si>
    <t xml:space="preserve">FF3 tốt hơn CAPM</t>
  </si>
  <si>
    <t xml:space="preserve">BE2: B2-08</t>
  </si>
  <si>
    <t xml:space="preserve">H2</t>
  </si>
  <si>
    <t xml:space="preserve">FF5 tốt hơn FF3</t>
  </si>
  <si>
    <t xml:space="preserve">H3</t>
  </si>
  <si>
    <t xml:space="preserve">LIQ có ý nghĩa thống kê</t>
  </si>
  <si>
    <t xml:space="preserve">H4</t>
  </si>
  <si>
    <t xml:space="preserve">FOR có ý nghĩa thống kê</t>
  </si>
  <si>
    <t xml:space="preserve">H5</t>
  </si>
  <si>
    <t xml:space="preserve">VOL cải thiện Adj R²</t>
  </si>
  <si>
    <t xml:space="preserve">C. MỤC LỤC FILE</t>
  </si>
  <si>
    <t xml:space="preserve">Sheet</t>
  </si>
  <si>
    <t xml:space="preserve">Ai cần đọc kỹ</t>
  </si>
  <si>
    <t xml:space="preserve">Ghi chú</t>
  </si>
  <si>
    <t xml:space="preserve">2_VaiTro</t>
  </si>
  <si>
    <t xml:space="preserve">Vai trò, ranh giới trách nhiệm, kỹ năng của từng người</t>
  </si>
  <si>
    <t xml:space="preserve">Tất cả</t>
  </si>
  <si>
    <t xml:space="preserve">Đọc đầu tiên</t>
  </si>
  <si>
    <t xml:space="preserve">3_LogicHeThong</t>
  </si>
  <si>
    <t xml:space="preserve">Từng bước logic: công thức, đầu vào, đầu ra, lưu ý</t>
  </si>
  <si>
    <t xml:space="preserve">Cốt lõi để hiểu bài</t>
  </si>
  <si>
    <t xml:space="preserve">4_KienTruc_HaTang</t>
  </si>
  <si>
    <t xml:space="preserve">Kiến trúc, công nghệ, hạ tầng, yêu cầu hệ thống, cấu trúc repo</t>
  </si>
  <si>
    <t xml:space="preserve">BE1, BE2, FE1</t>
  </si>
  <si>
    <t xml:space="preserve">Chốt trong W1</t>
  </si>
  <si>
    <t xml:space="preserve">5_DataDictionary</t>
  </si>
  <si>
    <t xml:space="preserve">Bảng dữ liệu, cột, kiểu, nguồn, tần suất</t>
  </si>
  <si>
    <t xml:space="preserve">BE1, BE2</t>
  </si>
  <si>
    <t xml:space="preserve">Chủ sở hữu: BE1</t>
  </si>
  <si>
    <t xml:space="preserve">6_PhanCongChiTiet</t>
  </si>
  <si>
    <t xml:space="preserve">Danh sách task: input, output, ngôn ngữ, phụ thuộc, tiêu chí hoàn thành</t>
  </si>
  <si>
    <t xml:space="preserve">Lọc theo cột Owner; cập nhật Trạng thái hằng tuần</t>
  </si>
  <si>
    <t xml:space="preserve">7_API_Contract</t>
  </si>
  <si>
    <t xml:space="preserve">Danh sách endpoint giữa BE và FE</t>
  </si>
  <si>
    <t xml:space="preserve">BE1, BE2, FE1, FE2</t>
  </si>
  <si>
    <t xml:space="preserve">Hợp đồng chung, thay đổi phải thông báo</t>
  </si>
  <si>
    <t xml:space="preserve">8_Timeline_Workload</t>
  </si>
  <si>
    <t xml:space="preserve">Tiến độ theo tuần, khối lượng từng người (tính bằng công thức)</t>
  </si>
  <si>
    <t xml:space="preserve">Trưởng nhóm</t>
  </si>
  <si>
    <t xml:space="preserve">Tự cập nhật theo sheet 6</t>
  </si>
  <si>
    <t xml:space="preserve">9_QuyUoc_RuiRo</t>
  </si>
  <si>
    <t xml:space="preserve">Quy ước code/Git, tham số mặc định, rủi ro &amp; cách xử lý</t>
  </si>
  <si>
    <t xml:space="preserve">Chú thích màu Owner:</t>
  </si>
  <si>
    <t xml:space="preserve">BE1</t>
  </si>
  <si>
    <t xml:space="preserve">BE2</t>
  </si>
  <si>
    <t xml:space="preserve">FE1</t>
  </si>
  <si>
    <t xml:space="preserve">FE2</t>
  </si>
  <si>
    <t xml:space="preserve">ALL</t>
  </si>
  <si>
    <t xml:space="preserve">VAI TRÒ &amp; RANH GIỚI TRÁCH NHIỆM</t>
  </si>
  <si>
    <t xml:space="preserve">Nguyên tắc: BE1 sở hữu 'dữ liệu &amp; nhân tố', BE2 sở hữu 'mô hình &amp; tối ưu &amp; backtest', FE1 sở hữu 'nửa nghiên cứu (Data → Regression)', FE2 sở hữu 'nửa danh mục (Config → Backtest)'.</t>
  </si>
  <si>
    <t xml:space="preserve">Vai trò</t>
  </si>
  <si>
    <t xml:space="preserve">Phạm vi trách nhiệm</t>
  </si>
  <si>
    <t xml:space="preserve">Task phụ trách (sheet 6)</t>
  </si>
  <si>
    <t xml:space="preserve">Sản phẩm bàn giao chính</t>
  </si>
  <si>
    <t xml:space="preserve">Phụ thuộc / bàn giao cho người khác</t>
  </si>
  <si>
    <t xml:space="preserve">Kỹ năng cần có</t>
  </si>
  <si>
    <t xml:space="preserve">Phụ trách viết báo cáo</t>
  </si>
  <si>
    <t xml:space="preserve">Data &amp; Factor Engineer</t>
  </si>
  <si>
    <t xml:space="preserve">Hạ tầng backend &amp; DB; thu thập/làm sạch dữ liệu; xây 8 nhân tố (MKT, SMB, HML, RMW, CMA, LIQ, FOR, VOL); thống kê nhân tố; pipeline CLI; API Data &amp; Factors; CI/CD &amp; deploy BE.</t>
  </si>
  <si>
    <t xml:space="preserve">B1-01 → B1-22 (22 task)</t>
  </si>
  <si>
    <t xml:space="preserve">Bảng factors_daily hoàn chỉnh; API /stocks /prices /factors...; data_quality_report; pipeline chạy 1 lệnh</t>
  </si>
  <si>
    <t xml:space="preserve">Cung cấp factors_daily cho BE2 (hạn W4); cung cấp mock_data cho FE (hạn W1); sở hữu schema DB</t>
  </si>
  <si>
    <t xml:space="preserve">Python (pandas, numpy), SQL/PostgreSQL, FastAPI, Docker, hiểu Fama-French &amp; cách xây nhân tố</t>
  </si>
  <si>
    <t xml:space="preserve">Chương 3.2-3.3, 4.1-4.2</t>
  </si>
  <si>
    <t xml:space="preserve">Model &amp; Optimization Engineer</t>
  </si>
  <si>
    <t xml:space="preserve">Chốt API contract; hồi quy CAPM/FF3/FF5/mở rộng; GRS; quantile; kiểm định H1-H5; chọn mô hình; μ, Σ; Markowitz + frontier; backtest có phí; metrics; API Regression/Portfolio/Backtest; export.</t>
  </si>
  <si>
    <t xml:space="preserve">B2-01 → B2-20 (20 task)</t>
  </si>
  <si>
    <t xml:space="preserve">regression_results, grs_results, weights, frontier, NAV &amp; metrics; API /regression /portfolio /backtest; export xlsx</t>
  </si>
  <si>
    <t xml:space="preserve">Nhận factors_daily từ BE1; cung cấp openapi.json cho FE (hạn W1), số liệu cho FE1 (W5) và FE2 (W6-7)</t>
  </si>
  <si>
    <t xml:space="preserve">Python (statsmodels, scipy.optimize, scikit-learn), thống kê/kinh tế lượng, tối ưu lồi, FastAPI</t>
  </si>
  <si>
    <t xml:space="preserve">Chương 3.4-3.6, 4.3-4.4</t>
  </si>
  <si>
    <t xml:space="preserve">Frontend Lead – Research Pages</t>
  </si>
  <si>
    <t xml:space="preserve">Khởi tạo FE; design system dùng chung; layout/routing; trang Data, Factors, Regression, Models (Adj R², GRS, H1-H5), Quantile; tiện ích bảng; tích hợp API; test.</t>
  </si>
  <si>
    <t xml:space="preserve">F1-01 → F1-13 (13 task)</t>
  </si>
  <si>
    <t xml:space="preserve">App shell; các trang /data /factors /regression /models /quantile; component dùng chung</t>
  </si>
  <si>
    <t xml:space="preserve">Cung cấp design system &amp; DataTable cho FE2 (hạn W2, W6); nhận API từ BE1/BE2</t>
  </si>
  <si>
    <t xml:space="preserve">React + TypeScript, Tailwind, TanStack Query/Table, ECharts/Recharts, đọc hiểu bảng hồi quy</t>
  </si>
  <si>
    <t xml:space="preserve">Phụ lục hướng dẫn sử dụng, hình cho Chương 4.2-4.3</t>
  </si>
  <si>
    <t xml:space="preserve">Frontend – Portfolio &amp; Backtest Pages</t>
  </si>
  <si>
    <t xml:space="preserve">Wireframe toàn bộ; config panel; xử lý job bất đồng bộ; trang Frontier, Weights, Backtest (Equity/Drawdown/Rolling Sharpe/Metrics), Sensitivity, Kết luận; export; E2E; deploy FE.</t>
  </si>
  <si>
    <t xml:space="preserve">F2-01 → F2-14 (14 task)</t>
  </si>
  <si>
    <t xml:space="preserve">Các trang /frontier /weights /backtest /sensitivity /conclusion; Figma; E2E test</t>
  </si>
  <si>
    <t xml:space="preserve">Nhận component từ FE1; nhận API Portfolio/Backtest từ BE2 (W6-7)</t>
  </si>
  <si>
    <t xml:space="preserve">React + TypeScript, form/validation (react-hook-form, zod), biểu đồ nâng cao, Playwright, hiểu Sharpe/Drawdown</t>
  </si>
  <si>
    <t xml:space="preserve">Chương 4.4, hình cho Chương 5, slide demo</t>
  </si>
  <si>
    <t xml:space="preserve">QUY TẮC PHỐI HỢP (đọc kỹ)</t>
  </si>
  <si>
    <t xml:space="preserve">1. API contract (sheet 7 + openapi.json) là hợp đồng duy nhất giữa BE và FE. Muốn đổi field phải tạo issue, BE2 cập nhật openapi.json, báo cả nhóm, tăng version.</t>
  </si>
  <si>
    <t xml:space="preserve">2. FE KHÔNG tự tính số liệu tài chính (Sharpe, drawdown, alpha...). Mọi con số lấy từ BE để đảm bảo khớp báo cáo.</t>
  </si>
  <si>
    <t xml:space="preserve">3. Lợi suất luôn dạng thập phân (0.05 = 5%); FE chịu trách nhiệm hiển thị %. Ngày dạng ISO-8601 (YYYY-MM-DD). Múi giờ Asia/Ho_Chi_Minh.</t>
  </si>
  <si>
    <t xml:space="preserve">4. BE1 bàn giao factors_daily bản đầu (MKT, SMB, HML) vào cuối W3 để BE2 bắt đầu hồi quy, phần còn lại cuối W4. Trong lúc chờ BE2 dùng dữ liệu giả lập hoặc factors Ken French để dev.</t>
  </si>
  <si>
    <t xml:space="preserve">5. Mỗi PR nhỏ (&lt;400 dòng), có mô tả, liên kết mã task (vd: 'B2-03'), 1 người review khác vai trò khi đụng contract. Không commit dữ liệu thô/khóa API lên Git.</t>
  </si>
  <si>
    <t xml:space="preserve">6. Bị kẹt &gt;1 ngày phải báo ngay trên kênh chung; không đợi đến weekly demo.</t>
  </si>
  <si>
    <t xml:space="preserve">LOGIC HỆ THỐNG – TỪNG BƯỚC TỪ DỮ LIỆU ĐẾN KẾT LUẬN</t>
  </si>
  <si>
    <t xml:space="preserve">Data → Factors → Regression FF5 → Expected Return (μ) → Risk (Σ) → Markowitz → Backtest → Dashboard</t>
  </si>
  <si>
    <t xml:space="preserve">Bước</t>
  </si>
  <si>
    <t xml:space="preserve">Tên bước</t>
  </si>
  <si>
    <t xml:space="preserve">Mô tả logic</t>
  </si>
  <si>
    <t xml:space="preserve">Công thức / Thuật toán</t>
  </si>
  <si>
    <t xml:space="preserve">Đầu vào</t>
  </si>
  <si>
    <t xml:space="preserve">Đầu ra</t>
  </si>
  <si>
    <t xml:space="preserve">Owner</t>
  </si>
  <si>
    <t xml:space="preserve">Lưu ý quan trọng</t>
  </si>
  <si>
    <t xml:space="preserve">S1</t>
  </si>
  <si>
    <t xml:space="preserve">Thu thập dữ liệu</t>
  </si>
  <si>
    <t xml:space="preserve">Lấy dữ liệu thô 30 mã VN30 và chỉ số, lãi suất, BCTC, sở hữu nước ngoài; đối chiếu nhân tố quốc tế.</t>
  </si>
  <si>
    <t xml:space="preserve">Không có công thức; cần retry, cache, upsert idempotent.</t>
  </si>
  <si>
    <t xml:space="preserve">API vnstock / công ty chứng khoán / Wigroup / cafef; Ken French Data Library</t>
  </si>
  <si>
    <t xml:space="preserve">Bảng raw: prices, index, risk_free, fundamentals, foreign, kf_factors</t>
  </si>
  <si>
    <t xml:space="preserve">Kiểm tra điều khoản &amp; giới hạn API. Lưu ngày tải và nguồn.</t>
  </si>
  <si>
    <t xml:space="preserve">S2</t>
  </si>
  <si>
    <t xml:space="preserve">Làm sạch &amp; chuẩn hoá</t>
  </si>
  <si>
    <t xml:space="preserve">Điều chỉnh giá, xử lý dừng giao dịch, căn lịch, tính market cap và excess return.</t>
  </si>
  <si>
    <t xml:space="preserve">R_i,t = P_t / P_(t−1) − 1 · Rf_daily = (1+Rf_year)^(1/252) − 1 · Excess = R_i,t − Rf_t</t>
  </si>
  <si>
    <t xml:space="preserve">Bảng raw</t>
  </si>
  <si>
    <t xml:space="preserve">Bảng clean + data_quality_report</t>
  </si>
  <si>
    <t xml:space="preserve">Dùng lợi suất đơn (simple return) để cộng danh mục; log-return chỉ dùng phụ.</t>
  </si>
  <si>
    <t xml:space="preserve">S3</t>
  </si>
  <si>
    <t xml:space="preserve">Xây nhân tố chuẩn</t>
  </si>
  <si>
    <t xml:space="preserve">MKT, SMB, HML, RMW, CMA theo phương pháp sắp xếp 2×3 của Fama-French (1993, 2015) áp dụng cho VN30.</t>
  </si>
  <si>
    <t xml:space="preserve">MKT = R_m − R_f · SMB = TB(3 danh mục Small) − TB(3 danh mục Big) · HML = ½(SH+BH) − ½(SL+BL) · RMW = ½(SR+BR) − ½(SW+BW) · CMA = ½(SC+BC) − ½(SA+BA)</t>
  </si>
  <si>
    <t xml:space="preserve">Giá, market cap, book equity, ROE, tăng trưởng tài sản</t>
  </si>
  <si>
    <t xml:space="preserve">MKT, SMB, HML, RMW, CMA (ngày)</t>
  </si>
  <si>
    <t xml:space="preserve">Chống look-ahead: chỉ dùng BCTC sau ngày công bố (report_date) + độ trễ. Với 30 mã, danh mục ~9-12 mã nên nhiễu — ghi rõ hạn chế. Ngân hàng: dùng ROE thay Operating Profit.</t>
  </si>
  <si>
    <t xml:space="preserve">S4</t>
  </si>
  <si>
    <t xml:space="preserve">Xây nhân tố mở rộng</t>
  </si>
  <si>
    <t xml:space="preserve">Thêm 3 nhân tố đặc thù Việt Nam: thanh khoản (LIQ), sở hữu nước ngoài (FOR), biến động giá (VOL).</t>
  </si>
  <si>
    <t xml:space="preserve">LIQ = R_Illiquid − R_Liquid (Amihud=|R|/Volume hoặc Turnover=Volume/Shares hoặc Trading Value=P×V) · FOR = R_HighFOR − R_LowFOR · VOL = R_HighVol − R_LowVol (Std(R) cuộn 20 ngày hoặc (H−L)/Close)</t>
  </si>
  <si>
    <t xml:space="preserve">Volume, Value, Foreign %, High/Low/Close</t>
  </si>
  <si>
    <t xml:space="preserve">LIQ, FOR, VOL (ngày)</t>
  </si>
  <si>
    <t xml:space="preserve">Nhóm cao/thấp = top/bottom 30%. Tham số đo (liq_measure, for_measure, vol_measure) cấu hình được.</t>
  </si>
  <si>
    <t xml:space="preserve">S5</t>
  </si>
  <si>
    <t xml:space="preserve">Kiểm định nhân tố</t>
  </si>
  <si>
    <t xml:space="preserve">Thống kê mô tả, t-test premium, tương quan, đối chiếu Ken French.</t>
  </si>
  <si>
    <t xml:space="preserve">t = mean/(s/√T) (Newey-West) · corr matrix</t>
  </si>
  <si>
    <t xml:space="preserve">factors_daily</t>
  </si>
  <si>
    <t xml:space="preserve">factor_stats, corr_matrix</t>
  </si>
  <si>
    <t xml:space="preserve">Nhân tố tương quan quá cao (&gt;0.8) → cảnh báo đa cộng tuyến ở S6.</t>
  </si>
  <si>
    <t xml:space="preserve">S6</t>
  </si>
  <si>
    <t xml:space="preserve">Hồi quy định giá</t>
  </si>
  <si>
    <t xml:space="preserve">Chạy chuỗi thời gian cho từng mã với 6 mô hình: CAPM, FF3, FF5, FF5+LIQ, FF5+LIQ+FOR, FF5+LIQ+FOR+VOL.</t>
  </si>
  <si>
    <t xml:space="preserve">Ri − Rf = α + β·MKT + s·SMB + h·HML + r·RMW + c·CMA + l·LIQ + f·FOR + v·VOL + ε · OLS + sai số Newey-West (HAC)</t>
  </si>
  <si>
    <t xml:space="preserve">Excess return 30 mã + factors</t>
  </si>
  <si>
    <t xml:space="preserve">α, hệ số, t, p, Adj R², AIC, BIC, residual</t>
  </si>
  <si>
    <t xml:space="preserve">Chẩn đoán VIF, DW, BP, JB, ADF. Hồi quy trên cả cổ phiếu và 6 danh mục Size×BM.</t>
  </si>
  <si>
    <t xml:space="preserve">S7</t>
  </si>
  <si>
    <t xml:space="preserve">Kiểm định GRS &amp; giả thuyết</t>
  </si>
  <si>
    <t xml:space="preserve">Kiểm định α đồng thời = 0; kiểm định H1-H5 giữa các mô hình lồng nhau.</t>
  </si>
  <si>
    <t xml:space="preserve">GRS: F = (T/N)·((T−N−K)/(T−K−1))·α'Σ⁻¹α / (1+μ'Ω⁻¹μ) ~ F(N, T−N−K) · F-test nested · ΔAdjR²</t>
  </si>
  <si>
    <t xml:space="preserve">Kết quả S6</t>
  </si>
  <si>
    <t xml:space="preserve">grs_results, hypothesis_results</t>
  </si>
  <si>
    <t xml:space="preserve">GRS cần T lớn hơn nhiều so với N+K (2021-2025 ngày ≈ 1,200 quan sát: đạt).</t>
  </si>
  <si>
    <t xml:space="preserve">S8</t>
  </si>
  <si>
    <t xml:space="preserve">Chọn mô hình tốt nhất</t>
  </si>
  <si>
    <t xml:space="preserve">Chọn best model bằng Adj R², GRS, AIC/BIC và hiệu quả ngoài mẫu.</t>
  </si>
  <si>
    <t xml:space="preserve">Quy tắc xếp hạng có trọng số hoặc lexicographic (ghi rõ trong báo cáo)</t>
  </si>
  <si>
    <t xml:space="preserve">S6, S7</t>
  </si>
  <si>
    <t xml:space="preserve">best_model</t>
  </si>
  <si>
    <t xml:space="preserve">Không chọn mô hình chỉ vì Adj R² cao nhất; tránh overfit.</t>
  </si>
  <si>
    <t xml:space="preserve">S9</t>
  </si>
  <si>
    <t xml:space="preserve">Lợi suất kỳ vọng μ</t>
  </si>
  <si>
    <t xml:space="preserve">Ước tính E(R_i) từ mô hình tốt nhất.</t>
  </si>
  <si>
    <t xml:space="preserve">μ_i = Rf + Σ_k β_ik·λ_k, λ_k = mean factor premium (Train) × 252</t>
  </si>
  <si>
    <t xml:space="preserve">best_model, β, factor means</t>
  </si>
  <si>
    <t xml:space="preserve">Vector μ (30×1)</t>
  </si>
  <si>
    <t xml:space="preserve">Chỉ dùng dữ liệu Train (2021-2024). Có tuỳ chọn co rút μ.</t>
  </si>
  <si>
    <t xml:space="preserve">S10</t>
  </si>
  <si>
    <t xml:space="preserve">Ma trận rủi ro Σ</t>
  </si>
  <si>
    <t xml:space="preserve">Ước tính hiệp phương sai.</t>
  </si>
  <si>
    <t xml:space="preserve">Sample Cov · Ledoit-Wolf shrinkage · Semi-Cov · quy năm ×252</t>
  </si>
  <si>
    <t xml:space="preserve">Returns Train</t>
  </si>
  <si>
    <t xml:space="preserve">Σ (30×30)</t>
  </si>
  <si>
    <t xml:space="preserve">Ledoit-Wolf ổn định hơn khi N=30, T~1,000.</t>
  </si>
  <si>
    <t xml:space="preserve">S11</t>
  </si>
  <si>
    <t xml:space="preserve">Tối ưu Markowitz</t>
  </si>
  <si>
    <t xml:space="preserve">Tìm tỷ trọng tối ưu Max Sharpe và Efficient Frontier.</t>
  </si>
  <si>
    <t xml:space="preserve">max (wᵀμ − Rf)/√(wᵀΣw) s.t. Σw=1, 0≤w≤w_max · Frontier: min wᵀΣw s.t. wᵀμ=target</t>
  </si>
  <si>
    <t xml:space="preserve">μ, Σ, Rf</t>
  </si>
  <si>
    <t xml:space="preserve">weights, frontier, tangency</t>
  </si>
  <si>
    <t xml:space="preserve">Cấm bán khống. w_max mặc định 15% để tránh danh mục dồn vào 1-2 mã.</t>
  </si>
  <si>
    <t xml:space="preserve">S12</t>
  </si>
  <si>
    <t xml:space="preserve">Backtest</t>
  </si>
  <si>
    <t xml:space="preserve">Đánh giá ngoài mẫu năm 2025 và rolling walk-forward; tính phí giao dịch.</t>
  </si>
  <si>
    <t xml:space="preserve">NAV_t = NAV_(t−1)·(1 + Σ w_i R_i,t − cost_t) · cost = phí × Σ|w_target − w_drift|</t>
  </si>
  <si>
    <t xml:space="preserve">weights, prices, config</t>
  </si>
  <si>
    <t xml:space="preserve">NAV 3 danh mục, turnover</t>
  </si>
  <si>
    <t xml:space="preserve">So sánh: VN30 Index, Equal Weight, Proposed. Không dùng thông tin tương lai.</t>
  </si>
  <si>
    <t xml:space="preserve">S13</t>
  </si>
  <si>
    <t xml:space="preserve">Chỉ số đánh giá</t>
  </si>
  <si>
    <t xml:space="preserve">Tính CAGR, Sharpe, Sortino, MaxDD, Calmar, Rolling Sharpe.</t>
  </si>
  <si>
    <t xml:space="preserve">CAGR=(V_end/V_start)^(252/n)−1 · Sharpe=mean(R−Rf)/std×√252 · MaxDD=min(V/cummax(V)−1)</t>
  </si>
  <si>
    <t xml:space="preserve">NAV</t>
  </si>
  <si>
    <t xml:space="preserve">metrics, drawdown, rolling sharpe</t>
  </si>
  <si>
    <t xml:space="preserve">Sharpe của danh mục kiểm tra trên 2025 nên nhiễu (~250 quan sát): cần báo cáo khoảng tin cậy hoặc bootstrap (tuỳ chọn).</t>
  </si>
  <si>
    <t xml:space="preserve">S14</t>
  </si>
  <si>
    <t xml:space="preserve">Phục vụ dữ liệu (API)</t>
  </si>
  <si>
    <t xml:space="preserve">Cung cấp kết quả cho FE qua REST; tác vụ nặng chạy nền.</t>
  </si>
  <si>
    <t xml:space="preserve">Job: POST → job_id → GET /jobs/{id}</t>
  </si>
  <si>
    <t xml:space="preserve">DB / cache</t>
  </si>
  <si>
    <t xml:space="preserve">JSON theo contract</t>
  </si>
  <si>
    <t xml:space="preserve">BE1 + BE2</t>
  </si>
  <si>
    <t xml:space="preserve">Kết quả cache theo hash cấu hình.</t>
  </si>
  <si>
    <t xml:space="preserve">S15</t>
  </si>
  <si>
    <t xml:space="preserve">Hiển thị (Dashboard)</t>
  </si>
  <si>
    <t xml:space="preserve">Trình bày pipeline: Data → Factors → Regression → Models → Frontier → Weights → Backtest → Conclusion.</t>
  </si>
  <si>
    <t xml:space="preserve">Không tính số, chỉ hiển thị &amp; tương tác</t>
  </si>
  <si>
    <t xml:space="preserve">JSON từ API</t>
  </si>
  <si>
    <t xml:space="preserve">10 trang dashboard + export</t>
  </si>
  <si>
    <t xml:space="preserve">FE1 + FE2</t>
  </si>
  <si>
    <t xml:space="preserve">FE không tự tính số tài chính.</t>
  </si>
  <si>
    <t xml:space="preserve">KIẾN TRÚC, CÔNG NGHỆ, HẠ TẦNG &amp; YÊU CẦU HỆ THỐNG</t>
  </si>
  <si>
    <t xml:space="preserve">Quyết định mặc định: tính toán nặng chạy OFFLINE/nền, lưu kết quả vào DB; API chỉ phục vụ kết quả đã tính + chạy lại khi đổi cấu hình.</t>
  </si>
  <si>
    <t xml:space="preserve">A. SƠ ĐỒ LUỒNG</t>
  </si>
  <si>
    <t xml:space="preserve">[Nguồn dữ liệu: vnstock / API CTCK / cafef / Ken French]  →  [Collector &amp; Cleaner (BE1)]  →  [PostgreSQL + Parquet]  →  [Factor Builder (BE1)]  →  [Regression / GRS (BE2)]  →  [μ, Σ → Markowitz → Backtest (BE2)]  →  [FastAPI REST]  →  [React Dashboard (FE1 + FE2)]</t>
  </si>
  <si>
    <t xml:space="preserve">B. CÔNG NGHỆ THEO TẦNG</t>
  </si>
  <si>
    <t xml:space="preserve">Tầng</t>
  </si>
  <si>
    <t xml:space="preserve">Công nghệ</t>
  </si>
  <si>
    <t xml:space="preserve">Mục đích</t>
  </si>
  <si>
    <t xml:space="preserve">Ngôn ngữ BE</t>
  </si>
  <si>
    <t xml:space="preserve">Python 3.11</t>
  </si>
  <si>
    <t xml:space="preserve">Toàn bộ backend, pipeline, mô hình</t>
  </si>
  <si>
    <t xml:space="preserve">Cố định phiên bản bằng pyproject/requirements.lock</t>
  </si>
  <si>
    <t xml:space="preserve">Web framework</t>
  </si>
  <si>
    <t xml:space="preserve">FastAPI + Uvicorn + Pydantic v2</t>
  </si>
  <si>
    <t xml:space="preserve">REST API, tự sinh OpenAPI/Swagger</t>
  </si>
  <si>
    <t xml:space="preserve">Port 8000; docs tại /docs</t>
  </si>
  <si>
    <t xml:space="preserve">Xử lý dữ liệu</t>
  </si>
  <si>
    <t xml:space="preserve">pandas, numpy, pyarrow (Parquet)</t>
  </si>
  <si>
    <t xml:space="preserve">ETL, nhân tố, returns</t>
  </si>
  <si>
    <t xml:space="preserve">vnstock, requests, tenacity</t>
  </si>
  <si>
    <t xml:space="preserve">Gọi API CTCK/cafef, retry</t>
  </si>
  <si>
    <t xml:space="preserve">Kiểm tra điều khoản/phiên bản API mới nhất</t>
  </si>
  <si>
    <t xml:space="preserve">Thống kê / kinh tế lượng</t>
  </si>
  <si>
    <t xml:space="preserve">statsmodels, scipy.stats</t>
  </si>
  <si>
    <t xml:space="preserve">OLS, HAC, QuantReg, GRS, chẩn đoán</t>
  </si>
  <si>
    <t xml:space="preserve">Tối ưu</t>
  </si>
  <si>
    <t xml:space="preserve">scipy.optimize (SLSQP), scikit-learn (LedoitWolf)</t>
  </si>
  <si>
    <t xml:space="preserve">Markowitz, frontier, Σ shrinkage</t>
  </si>
  <si>
    <t xml:space="preserve">Có thể thêm cvxpy nếu cần</t>
  </si>
  <si>
    <t xml:space="preserve">Cơ sở dữ liệu</t>
  </si>
  <si>
    <t xml:space="preserve">PostgreSQL 16 + SQLAlchemy 2 + Alembic</t>
  </si>
  <si>
    <t xml:space="preserve">Lưu dữ liệu, kết quả, job</t>
  </si>
  <si>
    <t xml:space="preserve">Có thể dùng DuckDB/Parquet cho phân tích; DB là nguồn cho API</t>
  </si>
  <si>
    <t xml:space="preserve">Job nền</t>
  </si>
  <si>
    <t xml:space="preserve">FastAPI BackgroundTasks + bảng jobs</t>
  </si>
  <si>
    <t xml:space="preserve">Chạy tối ưu/backtest bất đồng bộ</t>
  </si>
  <si>
    <t xml:space="preserve">Nâng cấp Celery + Redis nếu &gt;5 người dùng đồng thời</t>
  </si>
  <si>
    <t xml:space="preserve">Test / chất lượng BE</t>
  </si>
  <si>
    <t xml:space="preserve">pytest, pytest-cov, ruff, black, pandera</t>
  </si>
  <si>
    <t xml:space="preserve">Unit test, lint, kiểm tra schema dữ liệu</t>
  </si>
  <si>
    <t xml:space="preserve">Coverage ≥70% phần lõi</t>
  </si>
  <si>
    <t xml:space="preserve">Ngôn ngữ FE</t>
  </si>
  <si>
    <t xml:space="preserve">TypeScript 5 + React 18 + Vite</t>
  </si>
  <si>
    <t xml:space="preserve">Single Page Application</t>
  </si>
  <si>
    <t xml:space="preserve">FE1, FE2</t>
  </si>
  <si>
    <t xml:space="preserve">Node 20 LTS</t>
  </si>
  <si>
    <t xml:space="preserve">UI / Style</t>
  </si>
  <si>
    <t xml:space="preserve">TailwindCSS + shadcn/ui (Radix)</t>
  </si>
  <si>
    <t xml:space="preserve">Component &amp; theme</t>
  </si>
  <si>
    <t xml:space="preserve">Màu: navy 1F2A4A, vàng B8973A</t>
  </si>
  <si>
    <t xml:space="preserve">Data fetching / state</t>
  </si>
  <si>
    <t xml:space="preserve">TanStack Query, Zustand, axios</t>
  </si>
  <si>
    <t xml:space="preserve">Cache API, polling job, filter toàn cục</t>
  </si>
  <si>
    <t xml:space="preserve">Bảng / biểu đồ</t>
  </si>
  <si>
    <t xml:space="preserve">TanStack Table, Apache ECharts (hoặc Recharts)</t>
  </si>
  <si>
    <t xml:space="preserve">Bảng hồi quy, frontier, equity curve, heatmap</t>
  </si>
  <si>
    <t xml:space="preserve">Chọn 1 thư viện biểu đồ cho cả 2 FE (đề xuất ECharts)</t>
  </si>
  <si>
    <t xml:space="preserve">Form / validation</t>
  </si>
  <si>
    <t xml:space="preserve">react-hook-form + zod</t>
  </si>
  <si>
    <t xml:space="preserve">Config panel</t>
  </si>
  <si>
    <t xml:space="preserve">Mock API</t>
  </si>
  <si>
    <t xml:space="preserve">MSW (Mock Service Worker) + openapi-typescript</t>
  </si>
  <si>
    <t xml:space="preserve">Dev FE không chờ BE</t>
  </si>
  <si>
    <t xml:space="preserve">Test FE</t>
  </si>
  <si>
    <t xml:space="preserve">Vitest, React Testing Library, Playwright</t>
  </si>
  <si>
    <t xml:space="preserve">Unit + E2E</t>
  </si>
  <si>
    <t xml:space="preserve">Container</t>
  </si>
  <si>
    <t xml:space="preserve">Docker + Docker Compose</t>
  </si>
  <si>
    <t xml:space="preserve">Chạy đồng nhất trên mọi máy</t>
  </si>
  <si>
    <t xml:space="preserve">Services: db, api, (frontend dev)</t>
  </si>
  <si>
    <t xml:space="preserve">CI/CD</t>
  </si>
  <si>
    <t xml:space="preserve">GitHub Actions</t>
  </si>
  <si>
    <t xml:space="preserve">Lint → Test → Build → Deploy</t>
  </si>
  <si>
    <t xml:space="preserve">BE1, FE2</t>
  </si>
  <si>
    <t xml:space="preserve">Hosting (đề xuất)</t>
  </si>
  <si>
    <t xml:space="preserve">API: VPS/Render/Railway · DB: managed Postgres hoặc container · FE: Vercel/Netlify hoặc Nginx</t>
  </si>
  <si>
    <t xml:space="preserve">Staging phục vụ demo</t>
  </si>
  <si>
    <t xml:space="preserve">Chọn nền tảng dùng gói miễn phí/sinh viên nếu được</t>
  </si>
  <si>
    <t xml:space="preserve">C. YÊU CẦU HỆ THỐNG</t>
  </si>
  <si>
    <t xml:space="preserve">Hạng mục</t>
  </si>
  <si>
    <t xml:space="preserve">Yêu cầu</t>
  </si>
  <si>
    <t xml:space="preserve">Máy dev tối thiểu</t>
  </si>
  <si>
    <t xml:space="preserve">CPU 4 nhân, RAM 8GB (khuyến nghị 16GB), ổ trống 20GB, Docker Desktop, Git, Python 3.11, Node 20 LTS</t>
  </si>
  <si>
    <t xml:space="preserve">Dung lượng dữ liệu</t>
  </si>
  <si>
    <t xml:space="preserve">30 mã × ~1,250 phiên × vài cột ≈ dưới 100 MB; DB + parquet &lt; 1 GB</t>
  </si>
  <si>
    <t xml:space="preserve">Hiệu năng API đọc</t>
  </si>
  <si>
    <t xml:space="preserve">p95 &lt; 500 ms cho endpoint đọc (đã có cache/DB index)</t>
  </si>
  <si>
    <t xml:space="preserve">Hiệu năng tác vụ nặng</t>
  </si>
  <si>
    <t xml:space="preserve">Tối ưu 1 cấu hình &lt; 30 giây; backtest 1 cấu hình &lt; 2 phút; lưới độ nhạy &lt; 10 phút (song song)</t>
  </si>
  <si>
    <t xml:space="preserve">Chạy nền + polling</t>
  </si>
  <si>
    <t xml:space="preserve">Tái lập kết quả</t>
  </si>
  <si>
    <t xml:space="preserve">Cố định seed; lưu config + hash + phiên bản dữ liệu cho mỗi run_id</t>
  </si>
  <si>
    <t xml:space="preserve">Cùng config → cùng kết quả</t>
  </si>
  <si>
    <t xml:space="preserve">Độ chính xác dữ liệu</t>
  </si>
  <si>
    <t xml:space="preserve">Không look-ahead, không survivorship bias bị bỏ qua (nêu rõ giả định)</t>
  </si>
  <si>
    <t xml:space="preserve">Bảo mật</t>
  </si>
  <si>
    <t xml:space="preserve">Khoá API chỉ trong .env (không commit); CORS chỉ cho domain FE; không lưu thông tin cá nhân</t>
  </si>
  <si>
    <t xml:space="preserve">Trình duyệt hỗ trợ</t>
  </si>
  <si>
    <t xml:space="preserve">Chrome/Edge/Firefox bản mới; màn hình desktop ≥ 1024px</t>
  </si>
  <si>
    <t xml:space="preserve">Khả dụng UI</t>
  </si>
  <si>
    <t xml:space="preserve">Mọi trang có trạng thái loading/empty/error; biểu đồ có tiêu đề, đơn vị, chú giải</t>
  </si>
  <si>
    <t xml:space="preserve">Ghi log</t>
  </si>
  <si>
    <t xml:space="preserve">Log JSON có run_id, stage, thời gian; lỗi không nuốt im lặng</t>
  </si>
  <si>
    <t xml:space="preserve">D. CẤU TRÚC REPO ĐỀ XUẤT</t>
  </si>
  <si>
    <t xml:space="preserve">vn30-factor-optimizer/
├─ backend/
│  ├─ app/
│  │  ├─ api/            # routers: data.py, factors.py, regression.py, portfolio.py, backtest.py, jobs.py   (BE1: data/factors · BE2: còn lại)
│  │  ├─ core/           # config, logging, db session
│  │  ├─ collectors/     # prices.py, index.py, fundamentals.py, foreign.py, riskfree.py, kenfrench.py     (BE1)
│  │  ├─ cleaning/       # adjust.py, calendar.py, quality.py                                             (BE1)
│  │  ├─ factors/        # mkt.py, sorts_2x3.py, liq.py, foreign.py, vol.py, stats.py                     (BE1)
│  │  ├─ models/         # registry.py, regression.py, grs.py, quantile.py, diagnostics.py, selection.py  (BE2)
│  │  ├─ optimize/       # expected_return.py, covariance.py, markowitz.py, frontier.py                   (BE2)
│  │  ├─ backtest/       # engine.py, costs.py, benchmarks.py, metrics.py, sensitivity.py                 (BE2)
│  │  ├─ schemas/        # Pydantic request/response
│  │  └─ pipeline/       # CLI: python -m app.pipeline run --stage ...
│  ├─ alembic/  ├─ tests/  ├─ data/{raw,processed}/  ├─ mock_data/  ├─ Dockerfile  └─ pyproject.toml
├─ frontend/
│  ├─ src/{pages,components,features,api,hooks,lib,mocks}
│  │    pages: data, factors, regression, models, quantile (FE1) · frontier, weights, backtest, sensitivity, conclusion (FE2)
│  └─ package.json, vite.config.ts, playwright.config.ts
├─ docs/  (openapi.json, ERD, wireframe, báo cáo)
├─ docker-compose.yml   ├─ .env.example   └─ .github/workflows/ci.yml</t>
  </si>
  <si>
    <t xml:space="preserve">E. BIẾN MÔI TRƯỜNG &amp; PORT</t>
  </si>
  <si>
    <t xml:space="preserve">Biến/Port</t>
  </si>
  <si>
    <t xml:space="preserve">Giá trị ví dụ</t>
  </si>
  <si>
    <t xml:space="preserve">DATABASE_URL</t>
  </si>
  <si>
    <t xml:space="preserve">postgresql+psycopg://user:pass@db:5432/vn30</t>
  </si>
  <si>
    <t xml:space="preserve">Trong .env, không commit</t>
  </si>
  <si>
    <t xml:space="preserve">DATA_START / DATA_END</t>
  </si>
  <si>
    <t xml:space="preserve">2021-01-01 / 2025-12-31</t>
  </si>
  <si>
    <t xml:space="preserve">TRAIN_END</t>
  </si>
  <si>
    <t xml:space="preserve">2024-12-31</t>
  </si>
  <si>
    <t xml:space="preserve">Test = 2025</t>
  </si>
  <si>
    <t xml:space="preserve">RF_SOURCE</t>
  </si>
  <si>
    <t xml:space="preserve">gov_bond_1y | deposit_12m</t>
  </si>
  <si>
    <t xml:space="preserve">Chọn 1, ghi nguồn</t>
  </si>
  <si>
    <t xml:space="preserve">VITE_API_URL</t>
  </si>
  <si>
    <t xml:space="preserve">http://localhost:8000/api/v1</t>
  </si>
  <si>
    <t xml:space="preserve">FE đọc</t>
  </si>
  <si>
    <t xml:space="preserve">VITE_USE_MOCK</t>
  </si>
  <si>
    <t xml:space="preserve">true | false</t>
  </si>
  <si>
    <t xml:space="preserve">Bật mock MSW</t>
  </si>
  <si>
    <t xml:space="preserve">Port</t>
  </si>
  <si>
    <t xml:space="preserve">API 8000 · Postgres 5432 · FE dev 5173</t>
  </si>
  <si>
    <t xml:space="preserve">BE1, FE1</t>
  </si>
  <si>
    <t xml:space="preserve">DATA DICTIONARY – CÁC BẢNG DỮ LIỆU</t>
  </si>
  <si>
    <t xml:space="preserve">Quy ước: tên bảng/cột snake_case; lợi suất &amp; tỷ lệ dạng thập phân; ngày ISO-8601; khoá chính in đậm ở cột Ghi chú.</t>
  </si>
  <si>
    <t xml:space="preserve">Bảng</t>
  </si>
  <si>
    <t xml:space="preserve">Cột</t>
  </si>
  <si>
    <t xml:space="preserve">Kiểu</t>
  </si>
  <si>
    <t xml:space="preserve">Ý nghĩa</t>
  </si>
  <si>
    <t xml:space="preserve">Nguồn</t>
  </si>
  <si>
    <t xml:space="preserve">Tần suất</t>
  </si>
  <si>
    <t xml:space="preserve">stocks</t>
  </si>
  <si>
    <t xml:space="preserve">ticker</t>
  </si>
  <si>
    <t xml:space="preserve">VARCHAR(10)</t>
  </si>
  <si>
    <t xml:space="preserve">Mã cổ phiếu (PK)</t>
  </si>
  <si>
    <t xml:space="preserve">vnstock</t>
  </si>
  <si>
    <t xml:space="preserve">Tĩnh</t>
  </si>
  <si>
    <t xml:space="preserve">PK</t>
  </si>
  <si>
    <t xml:space="preserve">company_name</t>
  </si>
  <si>
    <t xml:space="preserve">TEXT</t>
  </si>
  <si>
    <t xml:space="preserve">Tên công ty</t>
  </si>
  <si>
    <t xml:space="preserve">sector</t>
  </si>
  <si>
    <t xml:space="preserve">VARCHAR(50)</t>
  </si>
  <si>
    <t xml:space="preserve">Ngành (ICB)</t>
  </si>
  <si>
    <t xml:space="preserve">Dùng cho donut ngành</t>
  </si>
  <si>
    <t xml:space="preserve">listing_date</t>
  </si>
  <si>
    <t xml:space="preserve">DATE</t>
  </si>
  <si>
    <t xml:space="preserve">Ngày niêm yết</t>
  </si>
  <si>
    <t xml:space="preserve">vn30_constituents</t>
  </si>
  <si>
    <t xml:space="preserve">ticker, start_date, end_date</t>
  </si>
  <si>
    <t xml:space="preserve">VARCHAR, DATE, DATE</t>
  </si>
  <si>
    <t xml:space="preserve">Mã thuộc VN30 trong khoảng thời gian</t>
  </si>
  <si>
    <t xml:space="preserve">HOSE thông báo</t>
  </si>
  <si>
    <t xml:space="preserve">Bán niên</t>
  </si>
  <si>
    <t xml:space="preserve">PK (ticker,start_date)</t>
  </si>
  <si>
    <t xml:space="preserve">prices_daily</t>
  </si>
  <si>
    <t xml:space="preserve">date, ticker</t>
  </si>
  <si>
    <t xml:space="preserve">DATE, VARCHAR</t>
  </si>
  <si>
    <t xml:space="preserve">Ngày, mã</t>
  </si>
  <si>
    <t xml:space="preserve">vnstock/CTCK</t>
  </si>
  <si>
    <t xml:space="preserve">Ngày</t>
  </si>
  <si>
    <t xml:space="preserve">PK (date,ticker)</t>
  </si>
  <si>
    <t xml:space="preserve">open, high, low, close</t>
  </si>
  <si>
    <t xml:space="preserve">NUMERIC</t>
  </si>
  <si>
    <t xml:space="preserve">Giá (VND) chưa điều chỉnh</t>
  </si>
  <si>
    <t xml:space="preserve">adj_close</t>
  </si>
  <si>
    <t xml:space="preserve">Giá đóng cửa đã điều chỉnh cổ tức/chia tách</t>
  </si>
  <si>
    <t xml:space="preserve">Tính</t>
  </si>
  <si>
    <t xml:space="preserve">Dùng để tính return</t>
  </si>
  <si>
    <t xml:space="preserve">volume, value</t>
  </si>
  <si>
    <t xml:space="preserve">BIGINT, NUMERIC</t>
  </si>
  <si>
    <t xml:space="preserve">Khối lượng, giá trị giao dịch (VND)</t>
  </si>
  <si>
    <t xml:space="preserve">Dùng cho Amihud, Turnover</t>
  </si>
  <si>
    <t xml:space="preserve">shares_outstanding</t>
  </si>
  <si>
    <t xml:space="preserve">BIGINT</t>
  </si>
  <si>
    <t xml:space="preserve">Số cổ phiếu lưu hành</t>
  </si>
  <si>
    <t xml:space="preserve">BCTC/CTCK</t>
  </si>
  <si>
    <t xml:space="preserve">Quý → ffill</t>
  </si>
  <si>
    <t xml:space="preserve">Tính market cap</t>
  </si>
  <si>
    <t xml:space="preserve">market_cap</t>
  </si>
  <si>
    <t xml:space="preserve">Giá đóng cửa × shares_outstanding</t>
  </si>
  <si>
    <t xml:space="preserve">Dùng cho Size, weight VW</t>
  </si>
  <si>
    <t xml:space="preserve">ret, excess_ret</t>
  </si>
  <si>
    <t xml:space="preserve">DOUBLE</t>
  </si>
  <si>
    <t xml:space="preserve">Lợi suất ngày và vượt Rf</t>
  </si>
  <si>
    <t xml:space="preserve">Dạng thập phân</t>
  </si>
  <si>
    <t xml:space="preserve">index_daily</t>
  </si>
  <si>
    <t xml:space="preserve">date, index_code, close</t>
  </si>
  <si>
    <t xml:space="preserve">DATE, VARCHAR, NUMERIC</t>
  </si>
  <si>
    <t xml:space="preserve">VN30 và VNINDEX</t>
  </si>
  <si>
    <t xml:space="preserve">PK (date,index_code)</t>
  </si>
  <si>
    <t xml:space="preserve">risk_free</t>
  </si>
  <si>
    <t xml:space="preserve">date, rf_annual, rf_daily, source</t>
  </si>
  <si>
    <t xml:space="preserve">DATE, DOUBLE, DOUBLE, TEXT</t>
  </si>
  <si>
    <t xml:space="preserve">Lãi suất phi rủi ro</t>
  </si>
  <si>
    <t xml:space="preserve">NHNN/HNX/lãi suất tiền gửi</t>
  </si>
  <si>
    <t xml:space="preserve">Ngày/Tháng</t>
  </si>
  <si>
    <t xml:space="preserve">rf_daily=(1+rf_annual)^(1/252)-1</t>
  </si>
  <si>
    <t xml:space="preserve">fundamentals_quarterly</t>
  </si>
  <si>
    <t xml:space="preserve">ticker, fiscal_year, quarter</t>
  </si>
  <si>
    <t xml:space="preserve">VARCHAR, INT, INT</t>
  </si>
  <si>
    <t xml:space="preserve">Kỳ báo cáo</t>
  </si>
  <si>
    <t xml:space="preserve">BCTC</t>
  </si>
  <si>
    <t xml:space="preserve">Quý</t>
  </si>
  <si>
    <t xml:space="preserve">report_date</t>
  </si>
  <si>
    <t xml:space="preserve">NGÀY CÔNG BỐ báo cáo</t>
  </si>
  <si>
    <t xml:space="preserve">Bắt buộc để chống look-ahead</t>
  </si>
  <si>
    <t xml:space="preserve">book_equity</t>
  </si>
  <si>
    <t xml:space="preserve">Vốn chủ sở hữu</t>
  </si>
  <si>
    <t xml:space="preserve">B/M = book_equity/market_cap</t>
  </si>
  <si>
    <t xml:space="preserve">total_assets</t>
  </si>
  <si>
    <t xml:space="preserve">Tổng tài sản</t>
  </si>
  <si>
    <t xml:space="preserve">CMA = tăng trưởng tổng tài sản</t>
  </si>
  <si>
    <t xml:space="preserve">net_income, roe</t>
  </si>
  <si>
    <t xml:space="preserve">NUMERIC, DOUBLE</t>
  </si>
  <si>
    <t xml:space="preserve">Lợi nhuận sau thuế, ROE (LTM)</t>
  </si>
  <si>
    <t xml:space="preserve">BCTC/Tính</t>
  </si>
  <si>
    <t xml:space="preserve">Proxy cho RMW</t>
  </si>
  <si>
    <t xml:space="preserve">foreign_daily</t>
  </si>
  <si>
    <t xml:space="preserve">foreign_owned_pct, room_total_pct, room_remaining_pct</t>
  </si>
  <si>
    <t xml:space="preserve">Tỷ lệ sở hữu NN, room tối đa, room còn lại</t>
  </si>
  <si>
    <t xml:space="preserve">Vd FPT 49%, VNM 48%, HPG 17%</t>
  </si>
  <si>
    <t xml:space="preserve">net_foreign_buy_value</t>
  </si>
  <si>
    <t xml:space="preserve">Mua ròng khối ngoại (VND)</t>
  </si>
  <si>
    <t xml:space="preserve">kf_factors_daily</t>
  </si>
  <si>
    <t xml:space="preserve">date, mkt_rf, smb, hml, rmw, cma, rf</t>
  </si>
  <si>
    <t xml:space="preserve">DATE, DOUBLE</t>
  </si>
  <si>
    <t xml:space="preserve">Nhân tố Ken French (đã đổi % → thập phân)</t>
  </si>
  <si>
    <t xml:space="preserve">Ken French Data Library</t>
  </si>
  <si>
    <t xml:space="preserve">Chỉ để đối chiếu; ghi nguồn</t>
  </si>
  <si>
    <t xml:space="preserve">date</t>
  </si>
  <si>
    <t xml:space="preserve">Ngày (PK)</t>
  </si>
  <si>
    <t xml:space="preserve">mkt, smb, hml, rmw, cma</t>
  </si>
  <si>
    <t xml:space="preserve">5 nhân tố chuẩn</t>
  </si>
  <si>
    <t xml:space="preserve">Thập phân</t>
  </si>
  <si>
    <t xml:space="preserve">liq, for, vol</t>
  </si>
  <si>
    <t xml:space="preserve">3 nhân tố mở rộng</t>
  </si>
  <si>
    <t xml:space="preserve">Cột 'for' đặt tên for_ trong DB</t>
  </si>
  <si>
    <t xml:space="preserve">regression_results</t>
  </si>
  <si>
    <t xml:space="preserve">run_id, model, ticker</t>
  </si>
  <si>
    <t xml:space="preserve">VARCHAR</t>
  </si>
  <si>
    <t xml:space="preserve">Mô hình: capm/ff3/ff5/ff5_liq/ff5_liq_for/ff5_liq_for_vol</t>
  </si>
  <si>
    <t xml:space="preserve">BE2 tính</t>
  </si>
  <si>
    <t xml:space="preserve">Theo run</t>
  </si>
  <si>
    <t xml:space="preserve">PK (run_id,model,ticker)</t>
  </si>
  <si>
    <t xml:space="preserve">alpha, alpha_t, alpha_p</t>
  </si>
  <si>
    <t xml:space="preserve">Hệ số chặn và thống kê</t>
  </si>
  <si>
    <t xml:space="preserve">beta_mkt, beta_smb, beta_hml, beta_rmw, beta_cma, beta_liq, beta_for, beta_vol (+ _t, _p)</t>
  </si>
  <si>
    <t xml:space="preserve">Hệ số nhân tố; NULL nếu mô hình không có</t>
  </si>
  <si>
    <t xml:space="preserve">r2, adj_r2, aic, bic, n_obs</t>
  </si>
  <si>
    <t xml:space="preserve">DOUBLE, INT</t>
  </si>
  <si>
    <t xml:space="preserve">Độ phù hợp</t>
  </si>
  <si>
    <t xml:space="preserve">grs_results</t>
  </si>
  <si>
    <t xml:space="preserve">run_id, model, universe, grs_stat, p_value, mean_abs_alpha</t>
  </si>
  <si>
    <t xml:space="preserve">Kiểm định GRS</t>
  </si>
  <si>
    <t xml:space="preserve">universe: stocks | size_bm_6</t>
  </si>
  <si>
    <t xml:space="preserve">hypothesis_results</t>
  </si>
  <si>
    <t xml:space="preserve">run_id, hypothesis (H1-H5), statistic, p_value, verdict, note</t>
  </si>
  <si>
    <t xml:space="preserve">Kết quả kiểm định giả thuyết</t>
  </si>
  <si>
    <t xml:space="preserve">portfolio_runs</t>
  </si>
  <si>
    <t xml:space="preserve">run_id, config_json, config_hash, best_model, created_at</t>
  </si>
  <si>
    <t xml:space="preserve">Cấu hình mỗi lần tối ưu/backtest</t>
  </si>
  <si>
    <t xml:space="preserve">Cache theo config_hash</t>
  </si>
  <si>
    <t xml:space="preserve">portfolio_weights</t>
  </si>
  <si>
    <t xml:space="preserve">run_id, ticker, weight, mu, sigma</t>
  </si>
  <si>
    <t xml:space="preserve">Tỷ trọng tối ưu</t>
  </si>
  <si>
    <t xml:space="preserve">frontier_points</t>
  </si>
  <si>
    <t xml:space="preserve">run_id, ret, vol, sharpe, is_tangency</t>
  </si>
  <si>
    <t xml:space="preserve">Điểm trên biên hiệu quả</t>
  </si>
  <si>
    <t xml:space="preserve">backtest_series</t>
  </si>
  <si>
    <t xml:space="preserve">run_id, date, portfolio (vn30/equal/proposed), nav, ret, drawdown, rolling_sharpe, turnover, cost</t>
  </si>
  <si>
    <t xml:space="preserve">Chuỗi NAV &amp; chỉ số theo ngày</t>
  </si>
  <si>
    <t xml:space="preserve">PK (run_id,date,portfolio)</t>
  </si>
  <si>
    <t xml:space="preserve">backtest_metrics</t>
  </si>
  <si>
    <t xml:space="preserve">run_id, portfolio, cagr, vol, sharpe, sortino, max_dd, calmar, turnover</t>
  </si>
  <si>
    <t xml:space="preserve">Chỉ số tổng hợp</t>
  </si>
  <si>
    <t xml:space="preserve">jobs</t>
  </si>
  <si>
    <t xml:space="preserve">job_id, type, status, progress, run_id, error, created_at</t>
  </si>
  <si>
    <t xml:space="preserve">Theo dõi tác vụ nền</t>
  </si>
  <si>
    <t xml:space="preserve">Theo job</t>
  </si>
  <si>
    <t xml:space="preserve">status: pending/running/done/failed</t>
  </si>
  <si>
    <t xml:space="preserve">PHÂN CÔNG CHI TIẾT THEO TỪNG MODULE / TASK</t>
  </si>
  <si>
    <t xml:space="preserve">Lọc cột D (Owner) để xem việc của mình. Cột J-K là tuần bắt đầu/kết thúc; cột L là giờ ước tính (ALL = giờ cho MỖI người). Cập nhật cột N hằng tuần.</t>
  </si>
  <si>
    <t xml:space="preserve">ID</t>
  </si>
  <si>
    <t xml:space="preserve">Module</t>
  </si>
  <si>
    <t xml:space="preserve">Task</t>
  </si>
  <si>
    <t xml:space="preserve">Mô tả chi tiết (làm gì, làm thế nào)</t>
  </si>
  <si>
    <t xml:space="preserve">Đầu vào (Input)</t>
  </si>
  <si>
    <t xml:space="preserve">Đầu ra (Output)</t>
  </si>
  <si>
    <t xml:space="preserve">Ngôn ngữ / Thư viện</t>
  </si>
  <si>
    <t xml:space="preserve">Phụ thuộc</t>
  </si>
  <si>
    <t xml:space="preserve">Tuần BĐ</t>
  </si>
  <si>
    <t xml:space="preserve">Tuần KT</t>
  </si>
  <si>
    <t xml:space="preserve">Giờ ước tính</t>
  </si>
  <si>
    <t xml:space="preserve">Tiêu chí hoàn thành (DoD)</t>
  </si>
  <si>
    <t xml:space="preserve">Trạng thái</t>
  </si>
  <si>
    <t xml:space="preserve">A-01</t>
  </si>
  <si>
    <t xml:space="preserve">Quản lý dự án</t>
  </si>
  <si>
    <t xml:space="preserve">Kickoff, chốt scope, Git flow, Definition of Done</t>
  </si>
  <si>
    <t xml:space="preserve">Họp 2h: chốt phạm vi (30 mã VN30, 2021-2025, dữ liệu ngày), chốt Train 2021-2024 / Test 2025, quy ước nhánh (main/develop/feature/*), 1 người review mỗi PR. Tạo board (GitHub Projects/Trello) từ sheet này, mỗi dòng = 1 card.</t>
  </si>
  <si>
    <t xml:space="preserve">Đề cương đề án + file này</t>
  </si>
  <si>
    <t xml:space="preserve">Board công việc, repo GitHub, kênh chat, lịch demo thứ 6 hàng tuần</t>
  </si>
  <si>
    <t xml:space="preserve">GitHub, Trello/Notion</t>
  </si>
  <si>
    <t xml:space="preserve">-</t>
  </si>
  <si>
    <t xml:space="preserve">Cả 4 người đã đọc xong sheet 1-9; board có đủ card; mỗi người clone repo và chạy được README</t>
  </si>
  <si>
    <t xml:space="preserve">Chưa bắt đầu</t>
  </si>
  <si>
    <t xml:space="preserve">A-02</t>
  </si>
  <si>
    <t xml:space="preserve">Weekly demo + code review</t>
  </si>
  <si>
    <t xml:space="preserve">Mỗi tuần 1 buổi 1h demo tiến độ (BE demo Swagger/notebook, FE demo trang chạy mock/thật) + review PR chéo. Cập nhật cột Trạng thái ở sheet 6.</t>
  </si>
  <si>
    <t xml:space="preserve">PR, sprint board</t>
  </si>
  <si>
    <t xml:space="preserve">Biên bản ngắn, danh sách bug/việc phát sinh</t>
  </si>
  <si>
    <t xml:space="preserve">GitHub PR, Google Meet</t>
  </si>
  <si>
    <t xml:space="preserve">Có demo mỗi tuần; không PR nào merge khi chưa có 1 approve</t>
  </si>
  <si>
    <t xml:space="preserve">A-03</t>
  </si>
  <si>
    <t xml:space="preserve">Kiểm thử</t>
  </si>
  <si>
    <t xml:space="preserve">Integration test + bug bash</t>
  </si>
  <si>
    <t xml:space="preserve">Chạy toàn bộ luồng từ đầu đến cuối trên môi trường staging: pipeline dữ liệu → nhân tố → hồi quy → tối ưu → backtest → hiển thị. Ghi bug vào board, sửa theo mức ưu tiên.</t>
  </si>
  <si>
    <t xml:space="preserve">Bản build staging</t>
  </si>
  <si>
    <t xml:space="preserve">Danh sách bug đã đóng, checklist test</t>
  </si>
  <si>
    <t xml:space="preserve">Postman, Playwright, pytest</t>
  </si>
  <si>
    <t xml:space="preserve">B2-17, F2-12</t>
  </si>
  <si>
    <t xml:space="preserve">0 bug mức Critical/High còn mở; số liệu trên UI khớp với notebook của BE</t>
  </si>
  <si>
    <t xml:space="preserve">A-04</t>
  </si>
  <si>
    <t xml:space="preserve">Báo cáo</t>
  </si>
  <si>
    <t xml:space="preserve">Viết báo cáo &amp; chuẩn bị slide demo</t>
  </si>
  <si>
    <t xml:space="preserve">BE1: mục 3.2-3.3, 4.1-4.2 (dữ liệu, nhân tố). BE2: mục 3.4-3.6, 4.3-4.4 (mô hình, tối ưu, backtest). FE1/FE2: ảnh chụp dashboard, phụ lục hướng dẫn sử dụng, slide demo. Cả nhóm cùng viết Chương 1, 2, 5. NHỚ TRÍCH NGUỒN (Markowitz 1952; Fama-French 1993, 2015; Ken French Data Library...).</t>
  </si>
  <si>
    <t xml:space="preserve">Kết quả từ hệ thống, bảng export</t>
  </si>
  <si>
    <t xml:space="preserve">Báo cáo hoàn chỉnh + slide</t>
  </si>
  <si>
    <t xml:space="preserve">Word/LaTeX, Zotero</t>
  </si>
  <si>
    <t xml:space="preserve">Mỗi chương có người chịu trách nhiệm; số liệu trong báo cáo lấy từ file export của hệ thống, không gõ tay</t>
  </si>
  <si>
    <t xml:space="preserve">B1-01</t>
  </si>
  <si>
    <t xml:space="preserve">Hạ tầng</t>
  </si>
  <si>
    <t xml:space="preserve">Khởi tạo repo backend + Docker Compose + PostgreSQL</t>
  </si>
  <si>
    <t xml:space="preserve">Tạo cấu trúc thư mục (xem sheet 4), pyproject/requirements, ruff+black+pre-commit, .env.example, docker-compose (db, api). Viết README hướng dẫn chạy 3 lệnh: clone → cp .env → docker compose up.</t>
  </si>
  <si>
    <t xml:space="preserve">Sheet 4 (kiến trúc)</t>
  </si>
  <si>
    <t xml:space="preserve">Repo chạy được, endpoint GET /api/v1/health trả 200</t>
  </si>
  <si>
    <t xml:space="preserve">Python 3.11, FastAPI, Docker, PostgreSQL 16</t>
  </si>
  <si>
    <t xml:space="preserve">Thành viên khác chạy docker compose up là có API tại localhost:8000/docs</t>
  </si>
  <si>
    <t xml:space="preserve">B1-02</t>
  </si>
  <si>
    <t xml:space="preserve">Thiết kế schema DB + migration</t>
  </si>
  <si>
    <t xml:space="preserve">Tạo các bảng theo sheet 5 (stocks, vn30_constituents, prices_daily, index_daily, risk_free, fundamentals_quarterly, foreign_daily, factors_daily...). Khoá chính, index (ticker,date), kiểu số NUMERIC/DOUBLE. Migration bằng Alembic.</t>
  </si>
  <si>
    <t xml:space="preserve">Sheet 5 Data Dictionary</t>
  </si>
  <si>
    <t xml:space="preserve">Migration script, file ERD (png/dbml)</t>
  </si>
  <si>
    <t xml:space="preserve">SQLAlchemy 2, Alembic, PostgreSQL</t>
  </si>
  <si>
    <t xml:space="preserve">alembic upgrade head chạy sạch; ERD được BE2 duyệt</t>
  </si>
  <si>
    <t xml:space="preserve">B1-03</t>
  </si>
  <si>
    <t xml:space="preserve">Tạo dữ liệu mock/fixtures cho FE</t>
  </si>
  <si>
    <t xml:space="preserve">Xuất JSON mẫu đúng schema API (5 mã cổ phiếu, 1 năm) để FE dựng UI khi chưa có dữ liệu thật. Đặt trong /mock_data và xin FE xác nhận cấu trúc.</t>
  </si>
  <si>
    <t xml:space="preserve">API contract (sheet 7)</t>
  </si>
  <si>
    <t xml:space="preserve">Thư mục mock_data/*.json</t>
  </si>
  <si>
    <t xml:space="preserve">Python, JSON</t>
  </si>
  <si>
    <t xml:space="preserve">B2-01</t>
  </si>
  <si>
    <t xml:space="preserve">FE1 và FE2 xác nhận dùng được cho 100% endpoint sheet 7 nhóm Data &amp; Factors</t>
  </si>
  <si>
    <t xml:space="preserve">B1-04</t>
  </si>
  <si>
    <t xml:space="preserve">Data</t>
  </si>
  <si>
    <t xml:space="preserve">Collector giá &amp; khối lượng cổ phiếu VN30</t>
  </si>
  <si>
    <t xml:space="preserve">Viết class PriceCollector: lấy OHLCV ngày 2021-01-01 → 2025-12-31 cho 30 mã (và các mã từng thuộc VN30 trong giai đoạn). Retry, rate-limit, cache raw về data/raw/*.parquet, upsert vào prices_daily. Nguồn chính: vnstock; dự phòng: API công ty chứng khoán/Wigroup/cafef; cuối cùng: CSV tải tay. Kiểm tra điều khoản/phiên bản API hiện hành trước khi dùng.</t>
  </si>
  <si>
    <t xml:space="preserve">Danh sách mã, khoảng ngày</t>
  </si>
  <si>
    <t xml:space="preserve">prices_daily (date, ticker, OHLC, volume, value)</t>
  </si>
  <si>
    <t xml:space="preserve">Python, vnstock, pandas, requests, tenacity</t>
  </si>
  <si>
    <t xml:space="preserve">≥95% số phiên giao dịch có dữ liệu cho mỗi mã; chạy lại không tạo bản ghi trùng</t>
  </si>
  <si>
    <t xml:space="preserve">B1-05</t>
  </si>
  <si>
    <t xml:space="preserve">Collector chỉ số VN30-Index &amp; VN-Index</t>
  </si>
  <si>
    <t xml:space="preserve">Lấy giá đóng cửa hàng ngày của VN30 và VNINDEX 2021-2025. Dùng làm benchmark và proxy thị trường (MKT).</t>
  </si>
  <si>
    <t xml:space="preserve">Mã chỉ số</t>
  </si>
  <si>
    <t xml:space="preserve">index_daily (date, index_code, close)</t>
  </si>
  <si>
    <t xml:space="preserve">vnstock, pandas</t>
  </si>
  <si>
    <t xml:space="preserve">Số phiên khớp với lịch giao dịch HOSE; không có ngày trống ngoài ngày nghỉ</t>
  </si>
  <si>
    <t xml:space="preserve">B1-06</t>
  </si>
  <si>
    <t xml:space="preserve">Danh sách thành phần VN30 theo thời điểm (point-in-time)</t>
  </si>
  <si>
    <t xml:space="preserve">VN30 đổi rổ định kỳ (thường tháng 1 và 7). Lập bảng vn30_constituents (ticker, start_date, end_date). Quyết định mặc định: dùng 30 mã trong rổ cuối cùng làm universe chính; rổ theo thời gian dùng cho kiểm tra độ bền (giảm survivorship bias). Ghi rõ lựa chọn vào báo cáo.</t>
  </si>
  <si>
    <t xml:space="preserve">Thông báo rổ VN30 của HOSE</t>
  </si>
  <si>
    <t xml:space="preserve">pandas, CSV thủ công</t>
  </si>
  <si>
    <t xml:space="preserve">Có đủ 30 mã tại mọi thời điểm; có tài liệu nguồn từng kỳ rebalance</t>
  </si>
  <si>
    <t xml:space="preserve">B1-07</t>
  </si>
  <si>
    <t xml:space="preserve">Collector dữ liệu cơ bản theo quý (Book value, Equity, Assets, Profit)</t>
  </si>
  <si>
    <t xml:space="preserve">Lấy BCTC quý: vốn chủ sở hữu (book equity), tổng tài sản, lợi nhuận sau thuế, LN hoạt động, số cổ phiếu lưu hành, NGÀY CÔNG BỐ BÁO CÁO (report_date). Dùng để tính B/M, ROE (RMW), tăng trưởng tài sản (CMA). Bắt buộc lưu report_date để tránh look-ahead bias.</t>
  </si>
  <si>
    <t xml:space="preserve">Danh sách mã</t>
  </si>
  <si>
    <t xml:space="preserve">vnstock/cafef, pandas</t>
  </si>
  <si>
    <t xml:space="preserve">Đủ ít nhất 16 quý (2021Q1-2024Q4+) cho ≥28/30 mã; mọi bản ghi có report_date</t>
  </si>
  <si>
    <t xml:space="preserve">B1-08</t>
  </si>
  <si>
    <t xml:space="preserve">Collector sở hữu nước ngoài (Foreign Ownership, Room, Net Foreign Buy)</t>
  </si>
  <si>
    <t xml:space="preserve">Lấy hằng ngày: tỷ lệ sở hữu nước ngoài (%), room tối đa, room còn lại, khối lượng/giá trị mua-bán ròng khối ngoại. Nếu API không có lịch sử, dùng nguồn dự phòng hoặc tần suất tuần rồi ffill (ghi vào báo cáo).</t>
  </si>
  <si>
    <t xml:space="preserve">Có dữ liệu cho ≥90% mã-ngày; ghi rõ mã nào thiếu</t>
  </si>
  <si>
    <t xml:space="preserve">B1-09</t>
  </si>
  <si>
    <t xml:space="preserve">Lãi suất phi rủi ro (Risk-free)</t>
  </si>
  <si>
    <t xml:space="preserve">Chọn 1 nguồn: lợi suất trái phiếu chính phủ 1 năm (khuyến nghị) hoặc lãi suất tiền gửi 12 tháng. Quy đổi ngày: rf_daily = (1+rf_annual)^(1/252) - 1. Lưu cả rf_annual và rf_daily.</t>
  </si>
  <si>
    <t xml:space="preserve">Lãi suất theo tháng/ngày</t>
  </si>
  <si>
    <t xml:space="preserve">pandas</t>
  </si>
  <si>
    <t xml:space="preserve">Không có NaN; nguồn được trích dẫn trong ghi chú của bảng</t>
  </si>
  <si>
    <t xml:space="preserve">B1-10</t>
  </si>
  <si>
    <t xml:space="preserve">Tải nhân tố quốc tế từ Kenneth French Data Library</t>
  </si>
  <si>
    <t xml:space="preserve">Tải file daily FF5 (Developed / Emerging Markets nếu có, kèm Momentum) từ mainlibrary của Ken French. Dùng để ĐỐI CHIẾU cấu trúc nhân tố (tương quan MKT, SMB, HML, RMW, CMA), không dùng trực tiếp làm nhân tố VN. Ghi rõ nguồn, phiên bản, ngày tải.</t>
  </si>
  <si>
    <t xml:space="preserve">URL Ken French Data Library</t>
  </si>
  <si>
    <t xml:space="preserve">bảng kf_factors_daily</t>
  </si>
  <si>
    <t xml:space="preserve">pandas, requests, zipfile</t>
  </si>
  <si>
    <t xml:space="preserve">Đọc được đúng ngày, đơn vị % → chuyển về thập phân; có file test kiểm tra</t>
  </si>
  <si>
    <t xml:space="preserve">B1-11</t>
  </si>
  <si>
    <t xml:space="preserve">Làm sạch &amp; điều chỉnh dữ liệu + báo cáo chất lượng dữ liệu</t>
  </si>
  <si>
    <t xml:space="preserve">Điều chỉnh giá theo cổ tức/chia tách/thưởng cổ phiếu, xử lý ngày trống (ffill tối đa 5 ngày, ngày dừng giao dịch ghi cờ), lọc outlier (|return|&gt;7% trên HOSE cần kiểm tra vì biên độ ±7%), căn lịch chung các bảng, tính market cap = giá × số CP lưu hành. Xuất data_quality_report (coverage, missing %, outlier list).</t>
  </si>
  <si>
    <t xml:space="preserve">Bảng raw từ B1-04→B1-10</t>
  </si>
  <si>
    <t xml:space="preserve">Bảng clean (parquet + DB), data_quality_report.json</t>
  </si>
  <si>
    <t xml:space="preserve">pandas, numpy, pandera</t>
  </si>
  <si>
    <t xml:space="preserve">B1-04..B1-10</t>
  </si>
  <si>
    <t xml:space="preserve">Report được API /data/quality trả ra; return ngày nằm trong [-7.5%, +7.5%] trừ ngày có cờ giải trình</t>
  </si>
  <si>
    <t xml:space="preserve">B1-12</t>
  </si>
  <si>
    <t xml:space="preserve">Nhân tố</t>
  </si>
  <si>
    <t xml:space="preserve">Nhân tố MKT (Market risk premium)</t>
  </si>
  <si>
    <t xml:space="preserve">MKT_t = R_VN30,t (hoặc VNINDEX) − Rf_t. Mặc định dùng VN30 Index; có tuỳ chọn VNINDEX để kiểm tra độ bền.</t>
  </si>
  <si>
    <t xml:space="preserve">index_daily, risk_free</t>
  </si>
  <si>
    <t xml:space="preserve">cột MKT trong factors_daily</t>
  </si>
  <si>
    <t xml:space="preserve">Khớp thủ công 5 ngày ngẫu nhiên</t>
  </si>
  <si>
    <t xml:space="preserve">B1-13</t>
  </si>
  <si>
    <t xml:space="preserve">Nhân tố SMB &amp; HML (sắp xếp 2×3)</t>
  </si>
  <si>
    <t xml:space="preserve">Tái cân bằng theo kỳ (đề xuất 6 tháng, khớp kỳ đổi rổ VN30). Size = market cap (chia theo median: Small/Big). B/M = book equity (đã lag theo report_date + 1 tháng) / market cap, chia 30%-40%-30% (Low/Medium/High) — với 30 mã ≈ 9-12-9. Tạo 6 danh mục SL,SM,SH,BL,BM,BH (value-weighted, thêm bản equal-weight để kiểm tra). SMB = 1/3(SL+SM+SH) − 1/3(BL+BM+BH); HML = 1/2(SH+BH) − 1/2(SL+BL). Lưu ý: 'Small' ở đây là nhỏ tương đối trong VN30.</t>
  </si>
  <si>
    <t xml:space="preserve">prices_daily, market cap, fundamentals_quarterly</t>
  </si>
  <si>
    <t xml:space="preserve">SMB, HML trong factors_daily + bảng thành phần danh mục</t>
  </si>
  <si>
    <t xml:space="preserve">pandas, numpy</t>
  </si>
  <si>
    <t xml:space="preserve">Mỗi danh mục ≥3 mã tại mọi kỳ; unit test tính tay 1 kỳ khớp kết quả</t>
  </si>
  <si>
    <t xml:space="preserve">B1-14</t>
  </si>
  <si>
    <t xml:space="preserve">Nhân tố RMW &amp; CMA</t>
  </si>
  <si>
    <t xml:space="preserve">RMW = danh mục Robust (ROE cao) − Weak (ROE thấp); dùng ROE thay Operating Profit vì ngân hàng không có giá vốn/doanh thu chuẩn — ghi rõ trong báo cáo. CMA = Conservative (tăng trưởng tổng tài sản thấp) − Aggressive (cao). Cùng cách sắp xếp 2×3 và cách lag như B1-13.</t>
  </si>
  <si>
    <t xml:space="preserve">fundamentals_quarterly, market cap</t>
  </si>
  <si>
    <t xml:space="preserve">RMW, CMA trong factors_daily</t>
  </si>
  <si>
    <t xml:space="preserve">Có bảng thống kê số mã trong từng danh mục theo kỳ; unit test</t>
  </si>
  <si>
    <t xml:space="preserve">B1-15</t>
  </si>
  <si>
    <t xml:space="preserve">Nhân tố mở rộng LIQ (thanh khoản)</t>
  </si>
  <si>
    <t xml:space="preserve">Chỉ số thanh khoản mỗi mã: Amihud = mean(|R|/Value) 60 ngày (mặc định); phương án phụ: Turnover = Volume/Shares outstanding, Trading Value = Price × Volume. LIQ = R(Illiquid top 30%) − R(Liquid bottom 30%). Cấu hình chọn chỉ số bằng tham số liq_measure.</t>
  </si>
  <si>
    <t xml:space="preserve">prices_daily, shares outstanding</t>
  </si>
  <si>
    <t xml:space="preserve">LIQ trong factors_daily</t>
  </si>
  <si>
    <t xml:space="preserve">3 cách đo đều chạy được; LIQ không có NaN ngoài giai đoạn khởi tạo 60 ngày</t>
  </si>
  <si>
    <t xml:space="preserve">B1-16</t>
  </si>
  <si>
    <t xml:space="preserve">Nhân tố mở rộng FOR (sở hữu nước ngoài)</t>
  </si>
  <si>
    <t xml:space="preserve">Mỗi mã dùng Foreign Ownership % (mặc định) hoặc Net Foreign Buy 20 ngày. FOR = R(High FOR top 30%) − R(Low FOR bottom 30%). Nếu FOR dương: cổ phiếu được khối ngoại ưa chuộng có xu hướng sinh lời tốt hơn (đặc thù HOSE).</t>
  </si>
  <si>
    <t xml:space="preserve">foreign_daily, prices_daily</t>
  </si>
  <si>
    <t xml:space="preserve">FOR trong factors_daily</t>
  </si>
  <si>
    <t xml:space="preserve">B1-08, B1-11</t>
  </si>
  <si>
    <t xml:space="preserve">Tham số for_measure chọn được; unit test</t>
  </si>
  <si>
    <t xml:space="preserve">B1-17</t>
  </si>
  <si>
    <t xml:space="preserve">Nhân tố mở rộng VOL (biến động giá)</t>
  </si>
  <si>
    <t xml:space="preserve">Mỗi mã: Realized Vol = std(return) cuộn 20 ngày (mặc định); phương án phụ: Daily Std toàn kỳ, High-Low range = (H−L)/Close. VOL = R(High vol) − R(Low vol).</t>
  </si>
  <si>
    <t xml:space="preserve">VOL trong factors_daily</t>
  </si>
  <si>
    <t xml:space="preserve">3 cách đo chạy được; unit test</t>
  </si>
  <si>
    <t xml:space="preserve">B1-18</t>
  </si>
  <si>
    <t xml:space="preserve">Kiểm định &amp; thống kê nhân tố</t>
  </si>
  <si>
    <t xml:space="preserve">Thống kê mô tả (mean, std, skew, kurt, annualized), t-test premium (mean≠0, Newey-West), ma trận tương quan, so sánh SMB/HML/RMW/CMA với Ken French, cumulative return từng nhân tố. Kết quả lưu bảng factor_stats phục vụ Chương 4.2.</t>
  </si>
  <si>
    <t xml:space="preserve">factors_daily, kf_factors_daily</t>
  </si>
  <si>
    <t xml:space="preserve">factor_stats, corr_matrix, cumulative series</t>
  </si>
  <si>
    <t xml:space="preserve">pandas, statsmodels, scipy</t>
  </si>
  <si>
    <t xml:space="preserve">B1-12..B1-17, B1-10</t>
  </si>
  <si>
    <t xml:space="preserve">Bảng thống kê xuất được CSV; giải thích được nhân tố nào có premium có ý nghĩa</t>
  </si>
  <si>
    <t xml:space="preserve">B1-19</t>
  </si>
  <si>
    <t xml:space="preserve">Pipeline</t>
  </si>
  <si>
    <t xml:space="preserve">Pipeline điều phối dạng CLI + logging + cache</t>
  </si>
  <si>
    <t xml:space="preserve">Lệnh: python -m app.pipeline run --stage data|clean|factors|all --start --end. Ghi log JSON, lưu parquet trung gian trong data/processed, ghi hash cấu hình để tái lập kết quả.</t>
  </si>
  <si>
    <t xml:space="preserve">Config YAML</t>
  </si>
  <si>
    <t xml:space="preserve">Kết quả đầy đủ trong DB &amp; parquet</t>
  </si>
  <si>
    <t xml:space="preserve">Python, typer, loguru</t>
  </si>
  <si>
    <t xml:space="preserve">B1-04..B1-17</t>
  </si>
  <si>
    <t xml:space="preserve">Chạy 1 lệnh từ máy sạch ra đủ bảng factors_daily trong &lt;10 phút</t>
  </si>
  <si>
    <t xml:space="preserve">B1-20</t>
  </si>
  <si>
    <t xml:space="preserve">API</t>
  </si>
  <si>
    <t xml:space="preserve">API nhóm Data &amp; Factors</t>
  </si>
  <si>
    <t xml:space="preserve">Viết endpoint /stocks, /prices, /index, /data/quality, /factors, /factors/stats, /factors/correlation, /factors/cumulative theo sheet 7. Pydantic schema, phân trang, filter ngày, CORS cho FE, mã lỗi thống nhất.</t>
  </si>
  <si>
    <t xml:space="preserve">Bảng DB</t>
  </si>
  <si>
    <t xml:space="preserve">Swagger + JSON đúng contract</t>
  </si>
  <si>
    <t xml:space="preserve">FastAPI, Pydantic v2, SQLAlchemy</t>
  </si>
  <si>
    <t xml:space="preserve">B1-02, B1-11</t>
  </si>
  <si>
    <t xml:space="preserve">Tất cả endpoint nhóm Data &amp; Factors trả đúng schema; p95 &lt; 500ms</t>
  </si>
  <si>
    <t xml:space="preserve">B1-21</t>
  </si>
  <si>
    <t xml:space="preserve">Unit test dữ liệu &amp; nhân tố</t>
  </si>
  <si>
    <t xml:space="preserve">Test: điều chỉnh giá, lag báo cáo (không look-ahead), số mã mỗi danh mục, công thức SMB/HML/RMW/CMA/LIQ/FOR/VOL bằng dữ liệu giả có đáp án tay.</t>
  </si>
  <si>
    <t xml:space="preserve">Code module data/factors</t>
  </si>
  <si>
    <t xml:space="preserve">Bộ test pytest + báo cáo coverage</t>
  </si>
  <si>
    <t xml:space="preserve">pytest, pytest-cov</t>
  </si>
  <si>
    <t xml:space="preserve">B1-13..B1-17</t>
  </si>
  <si>
    <t xml:space="preserve">Coverage ≥70% cho module data &amp; factors; CI xanh</t>
  </si>
  <si>
    <t xml:space="preserve">B1-22</t>
  </si>
  <si>
    <t xml:space="preserve">Dockerfile production, CI/CD, triển khai backend</t>
  </si>
  <si>
    <t xml:space="preserve">Dockerfile multi-stage, GitHub Actions (lint → test → build image), deploy lên VPS/Render/Railway, biến môi trường, backup DB (pg_dump), HTTPS.</t>
  </si>
  <si>
    <t xml:space="preserve">Repo BE, tài khoản hosting</t>
  </si>
  <si>
    <t xml:space="preserve">URL API staging, pipeline CI</t>
  </si>
  <si>
    <t xml:space="preserve">Docker, GitHub Actions, Nginx</t>
  </si>
  <si>
    <t xml:space="preserve">FE gọi được API staging; merge vào main tự chạy test</t>
  </si>
  <si>
    <t xml:space="preserve">Chốt API contract (OpenAPI) với FE</t>
  </si>
  <si>
    <t xml:space="preserve">Cùng FE1/FE2 chốt cấu trúc request/response cho toàn bộ endpoint sheet 7: tên trường, kiểu, đơn vị (lợi suất dạng thập phân), định dạng ngày ISO-8601, envelope {data, meta, error}. Xuất openapi.json để FE sinh type.</t>
  </si>
  <si>
    <t xml:space="preserve">Sheet 7, wireframe FE</t>
  </si>
  <si>
    <t xml:space="preserve">openapi.json v0.1 được cả 4 người ký duyệt</t>
  </si>
  <si>
    <t xml:space="preserve">FastAPI/OpenAPI, Swagger</t>
  </si>
  <si>
    <t xml:space="preserve">Không thay đổi contract sau W2 nếu không có thông báo + version</t>
  </si>
  <si>
    <t xml:space="preserve">B2-02</t>
  </si>
  <si>
    <t xml:space="preserve">Hồi quy</t>
  </si>
  <si>
    <t xml:space="preserve">Chuẩn bị biến phụ thuộc &amp; bộ danh mục kiểm định</t>
  </si>
  <si>
    <t xml:space="preserve">Biến phụ thuộc: excess return của 30 cổ phiếu và 6 danh mục Size×BM (test portfolios cho GRS). Cho phép chọn tần suất ngày/tuần/tháng, chia mẫu (full, train). Hàm build_dataset(model, freq, start, end) trả DataFrame sạch.</t>
  </si>
  <si>
    <t xml:space="preserve">prices_daily, factors_daily, risk_free</t>
  </si>
  <si>
    <t xml:space="preserve">Dataset sẵn sàng hồi quy</t>
  </si>
  <si>
    <t xml:space="preserve">Không có look-ahead; số quan sát in ra đúng</t>
  </si>
  <si>
    <t xml:space="preserve">B2-03</t>
  </si>
  <si>
    <t xml:space="preserve">Engine hồi quy CAPM / FF3 / FF5</t>
  </si>
  <si>
    <t xml:space="preserve">Chạy OLS cho từng mã: Ri−Rf = α + β·MKT [+ s·SMB + h·HML [+ r·RMW + c·CMA]]. Dùng sai số chuẩn Newey-West (HAC, lag mặc định = 5 cho dữ liệu ngày). Lưu α, hệ số, t-stat, p-value, R², Adj R², AIC, BIC, số quan sát vào regression_results.</t>
  </si>
  <si>
    <t xml:space="preserve">Dataset từ B2-02</t>
  </si>
  <si>
    <t xml:space="preserve">regression_results (CAPM, FF3, FF5 × 30 mã)</t>
  </si>
  <si>
    <t xml:space="preserve">statsmodels (OLS, cov_type='HAC'), pandas</t>
  </si>
  <si>
    <t xml:space="preserve">B2-02, B1-13, B1-14</t>
  </si>
  <si>
    <t xml:space="preserve">Kết quả 1 mã khớp với chạy tay statsmodels; lưu DB thành công</t>
  </si>
  <si>
    <t xml:space="preserve">B2-04</t>
  </si>
  <si>
    <t xml:space="preserve">Mô hình mở rộng Việt Nam (FF5+LIQ, +FOR, +VOL)</t>
  </si>
  <si>
    <t xml:space="preserve">Thêm lần lượt LIQ, FOR, VOL: FF5+LIQ, FF5+LIQ+FOR, FF5+LIQ+FOR+VOL. Model registry để thêm mô hình chỉ cần khai báo danh sách nhân tố. Tính ΔAdjR² so với mô hình trước.</t>
  </si>
  <si>
    <t xml:space="preserve">factors_daily đủ 8 nhân tố</t>
  </si>
  <si>
    <t xml:space="preserve">regression_results cho 6 mô hình</t>
  </si>
  <si>
    <t xml:space="preserve">statsmodels</t>
  </si>
  <si>
    <t xml:space="preserve">B2-03, B1-15..B1-17</t>
  </si>
  <si>
    <t xml:space="preserve">Có bảng Adj R² trung bình theo mô hình (đúng mẫu mục 4.3 đề cương)</t>
  </si>
  <si>
    <t xml:space="preserve">B2-05</t>
  </si>
  <si>
    <t xml:space="preserve">Chẩn đoán mô hình</t>
  </si>
  <si>
    <t xml:space="preserve">VIF (đa cộng tuyến giữa 8 nhân tố), Durbin-Watson, Breusch-Pagan, Jarque-Bera, ADF cho chuỗi nhân tố. Nếu VIF&gt;10 cảnh báo và đề xuất bỏ/trực giao hoá nhân tố.</t>
  </si>
  <si>
    <t xml:space="preserve">Kết quả hồi quy + residual</t>
  </si>
  <si>
    <t xml:space="preserve">diagnostics table</t>
  </si>
  <si>
    <t xml:space="preserve">statsmodels, scipy</t>
  </si>
  <si>
    <t xml:space="preserve">Bảng chẩn đoán xuất được cho báo cáo</t>
  </si>
  <si>
    <t xml:space="preserve">B2-06</t>
  </si>
  <si>
    <t xml:space="preserve">Cài công thức GRS (Gibbons-Ross-Shanken): F = (T/N)·((T−N−K)/(T−K−1))·α'Σ⁻¹α / (1+μ'Ω⁻¹μ) ~ F(N, T−N−K). Chạy cho CAPM, FF3, FF5, mở rộng trên 6 danh mục và trên 30 mã. Trả GRS stat, p-value, mean|α|, mean α².</t>
  </si>
  <si>
    <t xml:space="preserve">Hệ số α và residual cov</t>
  </si>
  <si>
    <t xml:space="preserve">numpy, scipy.stats.f</t>
  </si>
  <si>
    <t xml:space="preserve">Ví dụ giả lập có đáp án đã biết cho kết quả đúng; test tự động</t>
  </si>
  <si>
    <t xml:space="preserve">B2-07</t>
  </si>
  <si>
    <t xml:space="preserve">Hồi quy phân vị (Quantile Regression)</t>
  </si>
  <si>
    <t xml:space="preserve">Hồi quy FF5 (và mở rộng) tại τ = 0.1, 0.25, 0.5, 0.75, 0.9 cho từng mã và cho danh mục. Lưu hệ số theo τ để FE vẽ.</t>
  </si>
  <si>
    <t xml:space="preserve">Dataset</t>
  </si>
  <si>
    <t xml:space="preserve">quantile_results</t>
  </si>
  <si>
    <t xml:space="preserve">statsmodels QuantReg</t>
  </si>
  <si>
    <t xml:space="preserve">Hệ số τ=0.5 gần OLS; chạy hết 30 mã &lt; 2 phút</t>
  </si>
  <si>
    <t xml:space="preserve">B2-08</t>
  </si>
  <si>
    <t xml:space="preserve">Kiểm định giả thuyết H1-H5</t>
  </si>
  <si>
    <t xml:space="preserve">H1: FF3 &gt; CAPM; H2: FF5 &gt; FF3; H3: LIQ có ý nghĩa; H4: FOR có ý nghĩa; H5: VOL cải thiện Adj R². Dùng F-test nested (Wald), so sánh Adj R², t-test hệ số, tỷ lệ mã có hệ số ý nghĩa 5%. Xuất verdict Chấp nhận/Bác bỏ + lý do.</t>
  </si>
  <si>
    <t xml:space="preserve">hypothesis_results (H1-H5)</t>
  </si>
  <si>
    <t xml:space="preserve">B2-04, B2-06</t>
  </si>
  <si>
    <t xml:space="preserve">Mỗi giả thuyết có kết luận kèm số liệu</t>
  </si>
  <si>
    <t xml:space="preserve">B2-09</t>
  </si>
  <si>
    <t xml:space="preserve">Chọn mô hình</t>
  </si>
  <si>
    <t xml:space="preserve">Chọn mô hình tốt nhất + kiểm định ngoài mẫu</t>
  </si>
  <si>
    <t xml:space="preserve">Tiêu chí: Adj R² cao, GRS thấp/không bác bỏ, AIC/BIC, α nhỏ, và out-of-sample R² (ước lượng 2021-2024, đánh giá 2025). Xuất best_model để làm đầu vào tối ưu; cho phép ghi đè bằng tham số.</t>
  </si>
  <si>
    <t xml:space="preserve">regression_results, grs_results</t>
  </si>
  <si>
    <t xml:space="preserve">best_model.json + bảng xếp hạng</t>
  </si>
  <si>
    <t xml:space="preserve">B2-06, B2-08</t>
  </si>
  <si>
    <t xml:space="preserve">Quy tắc chọn được viết rõ và tái lập được</t>
  </si>
  <si>
    <t xml:space="preserve">B2-10</t>
  </si>
  <si>
    <t xml:space="preserve">Tính lợi suất kỳ vọng μ từ mô hình tốt nhất</t>
  </si>
  <si>
    <t xml:space="preserve">μ_i = Rf + Σ_k β_ik · λ_k, với λ_k = trung bình lợi suất nhân tố trên tập Train, quy năm ×252. Tuỳ chọn: có/không cộng α; co rút (shrinkage) μ về trung bình khi noisy. KHÔNG dùng dữ liệu 2025 để ước lượng.</t>
  </si>
  <si>
    <t xml:space="preserve">best_model, betas, factor means (train)</t>
  </si>
  <si>
    <t xml:space="preserve">vector μ (30×1)</t>
  </si>
  <si>
    <t xml:space="preserve">numpy, pandas</t>
  </si>
  <si>
    <t xml:space="preserve">Kiểm tra μ nằm trong khoảng hợp lý (ví dụ −20%..+50%/năm); log cảnh báo nếu vượt</t>
  </si>
  <si>
    <t xml:space="preserve">B2-11</t>
  </si>
  <si>
    <t xml:space="preserve">Ước lượng ma trận hiệp phương sai Σ</t>
  </si>
  <si>
    <t xml:space="preserve">3 lựa chọn: Sample Cov, Ledoit-Wolf shrinkage, Semi-Cov (chỉ phần lợi suất âm/dưới Rf). Quy năm ×252, kiểm tra ma trận xác định dương (nếu không thì hiệu chỉnh bằng eigenvalue clipping).</t>
  </si>
  <si>
    <t xml:space="preserve">Σ (30×30) theo estimator</t>
  </si>
  <si>
    <t xml:space="preserve">scikit-learn LedoitWolf, numpy</t>
  </si>
  <si>
    <t xml:space="preserve">Cả 3 estimator chạy được; điều kiện số (cond number) được log</t>
  </si>
  <si>
    <t xml:space="preserve">B2-12</t>
  </si>
  <si>
    <t xml:space="preserve">Bộ tối ưu Markowitz (Max Sharpe, Min Variance)</t>
  </si>
  <si>
    <t xml:space="preserve">Max Sharpe: max (wᵀμ − Rf)/√(wᵀΣw) với Σw=1, 0≤w_i≤w_max (mặc định 15%, cấm bán khống vì thị trường VN không cho bán khống cổ phiếu). Giải bằng scipy.optimize (SLSQP), thử nhiều điểm khởi tạo. Cũng có Min Variance và Equal Weight để đối chiếu.</t>
  </si>
  <si>
    <t xml:space="preserve">μ, Σ, Rf, ràng buộc</t>
  </si>
  <si>
    <t xml:space="preserve">weights (30×1), expected return/vol/Sharpe</t>
  </si>
  <si>
    <t xml:space="preserve">scipy.optimize, numpy</t>
  </si>
  <si>
    <t xml:space="preserve">B2-10, B2-11</t>
  </si>
  <si>
    <t xml:space="preserve">Tổng weights = 1 ±1e-6; không vi phạm ràng buộc; kết quả ổn định khi đổi điểm khởi tạo</t>
  </si>
  <si>
    <t xml:space="preserve">B2-13</t>
  </si>
  <si>
    <t xml:space="preserve">Sinh Efficient Frontier</t>
  </si>
  <si>
    <t xml:space="preserve">Tạo 50-100 điểm trên biên hiệu quả (min variance theo mức lợi suất mục tiêu), thêm điểm Tangency, đường CML, và tập danh mục ngẫu nhiên (Monte Carlo 5,000) để FE vẽ.</t>
  </si>
  <si>
    <t xml:space="preserve">μ, Σ</t>
  </si>
  <si>
    <t xml:space="preserve">frontier JSON: [{ret, vol, sharpe, weights}]</t>
  </si>
  <si>
    <t xml:space="preserve">numpy, scipy</t>
  </si>
  <si>
    <t xml:space="preserve">Frontier đơn điệu tăng; điểm Tangency nằm trên frontier</t>
  </si>
  <si>
    <t xml:space="preserve">B2-14</t>
  </si>
  <si>
    <t xml:space="preserve">Engine backtest walk-forward có phí giao dịch</t>
  </si>
  <si>
    <t xml:space="preserve">Chế độ 1 (chính): ước lượng Train 2021-2024 → giữ danh mục 2025 (out-of-sample). Chế độ 2 (độ bền): cuộn (rolling) cửa sổ 36 tháng, tái cân bằng mỗi quý. Phí: mua 0.15%, bán 0.25% (gồm thuế bán 0.1%), cấu hình được; cost_t = Σ|w_target − w_drift|·phí. Weights trôi theo giá giữa hai kỳ tái cân bằng.</t>
  </si>
  <si>
    <t xml:space="preserve">Weights, prices, config</t>
  </si>
  <si>
    <t xml:space="preserve">Chuỗi NAV, turnover, chi phí giao dịch</t>
  </si>
  <si>
    <t xml:space="preserve">Không look-ahead (unit test); NAV khi phí=0 khớp tính tay</t>
  </si>
  <si>
    <t xml:space="preserve">B2-15</t>
  </si>
  <si>
    <t xml:space="preserve">Danh mục đối chứng: VN30 Index &amp; Equal Weight</t>
  </si>
  <si>
    <t xml:space="preserve">VN30 lấy trực tiếp chỉ số (total-return nếu có, ghi chú nếu là price-return). Equal Weight 1/30 tái cân bằng cùng kỳ và cùng phí. Đồng bộ ngày với danh mục đề xuất.</t>
  </si>
  <si>
    <t xml:space="preserve">index_daily, prices_daily</t>
  </si>
  <si>
    <t xml:space="preserve">NAV cho 3 danh mục</t>
  </si>
  <si>
    <t xml:space="preserve">Cả 3 chuỗi cùng ngày bắt đầu, cùng vốn ban đầu = 100</t>
  </si>
  <si>
    <t xml:space="preserve">B2-16</t>
  </si>
  <si>
    <t xml:space="preserve">Chỉ số hiệu suất &amp; rủi ro</t>
  </si>
  <si>
    <t xml:space="preserve">CAGR = (V_end/V_start)^(252/n) − 1; Sharpe = mean(R−Rf)/std × √252; Sortino; MaxDD = min(V/cummax(V) − 1); Calmar; volatility; turnover; hit-rate. Chuỗi drawdown theo ngày; Rolling Sharpe cửa sổ 60 ngày.</t>
  </si>
  <si>
    <t xml:space="preserve">NAV 3 danh mục</t>
  </si>
  <si>
    <t xml:space="preserve">metrics table + drawdown series + rolling sharpe</t>
  </si>
  <si>
    <t xml:space="preserve">So sánh khớp với hàm tính bằng empyrical/quantstats trong test</t>
  </si>
  <si>
    <t xml:space="preserve">B2-17</t>
  </si>
  <si>
    <t xml:space="preserve">API nhóm Regression / Portfolio / Backtest + job bất đồng bộ</t>
  </si>
  <si>
    <t xml:space="preserve">Endpoint theo sheet 7. Tác vụ nặng (regression/run, portfolio/optimize, backtest/run) trả job_id, chạy nền (BackgroundTasks + bảng jobs), FE poll /jobs/{id}. Kết quả cache theo hash cấu hình để chạy lại không tính lại.</t>
  </si>
  <si>
    <t xml:space="preserve">Module B2-03..B2-16</t>
  </si>
  <si>
    <t xml:space="preserve">Endpoint đúng contract, job status</t>
  </si>
  <si>
    <t xml:space="preserve">B2-01, B2-16</t>
  </si>
  <si>
    <t xml:space="preserve">Toàn bộ endpoint nhóm này chạy được trên Swagger; job hoàn tất và có thể polling</t>
  </si>
  <si>
    <t xml:space="preserve">B2-18</t>
  </si>
  <si>
    <t xml:space="preserve">Unit test mô hình, tối ưu, backtest</t>
  </si>
  <si>
    <t xml:space="preserve">Test giá trị đã biết: hồi quy dữ liệu tổng hợp với β định trước, GRS mẫu, tối ưu 2-3 tài sản có nghiệm giải tích, backtest 1 mã, tính metrics. Test tính tái lập (seed).</t>
  </si>
  <si>
    <t xml:space="preserve">Code module</t>
  </si>
  <si>
    <t xml:space="preserve">Bộ test pytest</t>
  </si>
  <si>
    <t xml:space="preserve">pytest, hypothesis (tuỳ chọn)</t>
  </si>
  <si>
    <t xml:space="preserve">B2-14..B2-16</t>
  </si>
  <si>
    <t xml:space="preserve">Coverage ≥70% module models/optimize/backtest; CI xanh</t>
  </si>
  <si>
    <t xml:space="preserve">B2-19</t>
  </si>
  <si>
    <t xml:space="preserve">Phân tích</t>
  </si>
  <si>
    <t xml:space="preserve">Phân tích độ nhạy (sensitivity)</t>
  </si>
  <si>
    <t xml:space="preserve">Chạy lưới: w_max {10%,15%,20%}, estimator {Sample, Ledoit-Wolf, Semi}, phí {0,0.15%,0.3%}, tần suất rebalance {tháng, quý}. Lưu kết quả Sharpe/MaxDD/CAGR từng tổ hợp.</t>
  </si>
  <si>
    <t xml:space="preserve">Engine backtest</t>
  </si>
  <si>
    <t xml:space="preserve">sensitivity_results</t>
  </si>
  <si>
    <t xml:space="preserve">joblib, pandas</t>
  </si>
  <si>
    <t xml:space="preserve">Bảng lưới hoàn chỉnh; chạy song song &lt; 10 phút</t>
  </si>
  <si>
    <t xml:space="preserve">B2-20</t>
  </si>
  <si>
    <t xml:space="preserve">Export bảng/biểu đồ cho báo cáo</t>
  </si>
  <si>
    <t xml:space="preserve">Endpoint /export tạo XLSX/CSV gồm: thống kê nhân tố, bảng hồi quy, so sánh mô hình, GRS, weights, metrics. Đánh số bảng theo Chương 4.</t>
  </si>
  <si>
    <t xml:space="preserve">Toàn bộ kết quả DB</t>
  </si>
  <si>
    <t xml:space="preserve">File xlsx/csv theo run_id</t>
  </si>
  <si>
    <t xml:space="preserve">openpyxl, pandas</t>
  </si>
  <si>
    <t xml:space="preserve">Mở được bằng Excel; số liệu khớp UI</t>
  </si>
  <si>
    <t xml:space="preserve">F1-01</t>
  </si>
  <si>
    <t xml:space="preserve">Hạ tầng FE</t>
  </si>
  <si>
    <t xml:space="preserve">Khởi tạo dự án frontend</t>
  </si>
  <si>
    <t xml:space="preserve">Vite + React 18 + TypeScript, TailwindCSS, ESLint/Prettier, cấu trúc src/{pages,components,features,api,hooks,lib}, axios client + TanStack Query, React Router, biến môi trường VITE_API_URL.</t>
  </si>
  <si>
    <t xml:space="preserve">Sheet 4</t>
  </si>
  <si>
    <t xml:space="preserve">Repo FE chạy npm run dev</t>
  </si>
  <si>
    <t xml:space="preserve">React, TypeScript, Vite, Tailwind</t>
  </si>
  <si>
    <t xml:space="preserve">Thành viên khác clone và chạy được trong 3 lệnh</t>
  </si>
  <si>
    <t xml:space="preserve">F1-02</t>
  </si>
  <si>
    <t xml:space="preserve">Design system</t>
  </si>
  <si>
    <t xml:space="preserve">Design system &amp; bộ component dùng chung</t>
  </si>
  <si>
    <t xml:space="preserve">Bảng màu (navy #1F2A4A, vàng #B8973A theo mẫu đề án), typography, component: Button, Card, Tabs, Select, DateRangePicker, DataTable, Badge (ý nghĩa thống kê ***/**/*), Spinner, ErrorState, EmptyState, ChartCard. Ghi vào Storybook hoặc trang /styleguide. FE2 dùng lại các component này.</t>
  </si>
  <si>
    <t xml:space="preserve">Wireframe của FE2</t>
  </si>
  <si>
    <t xml:space="preserve">Thư viện component</t>
  </si>
  <si>
    <t xml:space="preserve">React, Tailwind, shadcn/ui hoặc Radix, Storybook (tuỳ chọn)</t>
  </si>
  <si>
    <t xml:space="preserve">≥12 component dùng chung, có ví dụ; FE2 xác nhận dùng được</t>
  </si>
  <si>
    <t xml:space="preserve">F1-03</t>
  </si>
  <si>
    <t xml:space="preserve">Layout, routing, bộ lọc toàn cục</t>
  </si>
  <si>
    <t xml:space="preserve">Sidebar + Header, các route: /data, /factors, /regression, /models, /quantile, /frontier, /weights, /backtest, /sensitivity, /conclusion. Bộ lọc toàn cục (khoảng ngày, chọn mô hình) lưu trong Zustand/URL params.</t>
  </si>
  <si>
    <t xml:space="preserve">Wireframe</t>
  </si>
  <si>
    <t xml:space="preserve">App shell, điều hướng</t>
  </si>
  <si>
    <t xml:space="preserve">React Router, Zustand</t>
  </si>
  <si>
    <t xml:space="preserve">Điều hướng đủ trang (có thể là placeholder); responsive ≥1024px</t>
  </si>
  <si>
    <t xml:space="preserve">F1-04</t>
  </si>
  <si>
    <t xml:space="preserve">Sinh type từ OpenAPI + mock server</t>
  </si>
  <si>
    <t xml:space="preserve">openapi-typescript sinh type từ openapi.json; MSW (Mock Service Worker) trả dữ liệu từ mock_data BE1 để dev không phụ thuộc BE. Có công tắc VITE_USE_MOCK.</t>
  </si>
  <si>
    <t xml:space="preserve">openapi.json, mock_data</t>
  </si>
  <si>
    <t xml:space="preserve">types/api.ts, src/mocks/</t>
  </si>
  <si>
    <t xml:space="preserve">openapi-typescript, MSW</t>
  </si>
  <si>
    <t xml:space="preserve">B2-01, B1-03</t>
  </si>
  <si>
    <t xml:space="preserve">Chuyển mock ↔ API thật bằng 1 biến môi trường</t>
  </si>
  <si>
    <t xml:space="preserve">F1-05</t>
  </si>
  <si>
    <t xml:space="preserve">Trang Data</t>
  </si>
  <si>
    <t xml:space="preserve">Trang Tổng quan dữ liệu</t>
  </si>
  <si>
    <t xml:space="preserve">Hiển thị: số mã, khoảng ngày, % missing theo mã (heatmap), biểu đồ giá chuẩn hoá 100 của VN30 vs từng mã, bảng chất lượng dữ liệu, chọn mã xem nến/đường giá.</t>
  </si>
  <si>
    <t xml:space="preserve">GET /stocks, /prices, /index, /data/quality</t>
  </si>
  <si>
    <t xml:space="preserve">Trang /data</t>
  </si>
  <si>
    <t xml:space="preserve">Recharts hoặc ECharts, TanStack Table</t>
  </si>
  <si>
    <t xml:space="preserve">F1-03, B1-20</t>
  </si>
  <si>
    <t xml:space="preserve">Số liệu khớp API; tải &lt;2s với 30 mã 5 năm (dùng downsampling khi cần)</t>
  </si>
  <si>
    <t xml:space="preserve">F1-06</t>
  </si>
  <si>
    <t xml:space="preserve">Trang Factors</t>
  </si>
  <si>
    <t xml:space="preserve">Trang Nhân tố (Thống kê &amp; hiệu ứng nhân tố)</t>
  </si>
  <si>
    <t xml:space="preserve">Đường lợi suất luỹ kế 8 nhân tố (bật/tắt từng nhân tố), bảng thống kê mô tả (mean, std, t-stat, skew, kurt), heatmap tương quan, chú thích công thức từng nhân tố (MKT/SMB/HML/RMW/CMA/LIQ/FOR/VOL) bằng tooltip.</t>
  </si>
  <si>
    <t xml:space="preserve">GET /factors, /factors/stats, /factors/correlation, /factors/cumulative</t>
  </si>
  <si>
    <t xml:space="preserve">Trang /factors</t>
  </si>
  <si>
    <t xml:space="preserve">ECharts/Recharts</t>
  </si>
  <si>
    <t xml:space="preserve">Đủ 8 nhân tố; heatmap có thang màu và giá trị số; export CSV bảng thống kê</t>
  </si>
  <si>
    <t xml:space="preserve">F1-07</t>
  </si>
  <si>
    <t xml:space="preserve">So sánh nhân tố VN vs Ken French</t>
  </si>
  <si>
    <t xml:space="preserve">Biểu đồ chồng 2 đường + hệ số tương quan cho từng nhân tố chung (MKT, SMB, HML, RMW, CMA). Chú thích: đây chỉ là đối chiếu.</t>
  </si>
  <si>
    <t xml:space="preserve">GET /factors/compare-kf</t>
  </si>
  <si>
    <t xml:space="preserve">Tab trong /factors</t>
  </si>
  <si>
    <t xml:space="preserve">ECharts</t>
  </si>
  <si>
    <t xml:space="preserve">Chọn nhân tố hiển thị được; ghi nguồn Ken French</t>
  </si>
  <si>
    <t xml:space="preserve">F1-08</t>
  </si>
  <si>
    <t xml:space="preserve">Trang Regression</t>
  </si>
  <si>
    <t xml:space="preserve">Trang Kết quả hồi quy</t>
  </si>
  <si>
    <t xml:space="preserve">Chọn mô hình (CAPM/FF3/FF5/+LIQ/+FOR/+VOL) và mã cổ phiếu; bảng hệ số: α, β, s, h, r, c, l, f, v kèm t-stat, p-value, dấu sao có ý nghĩa; Adj R²; biểu đồ bar α và β 30 mã; ô chẩn đoán (VIF, DW, BP). Hồi quy chạy mới qua nút 'Chạy lại' → job.</t>
  </si>
  <si>
    <t xml:space="preserve">GET /regression/results, /regression/diagnostics; POST /regression/run</t>
  </si>
  <si>
    <t xml:space="preserve">Trang /regression</t>
  </si>
  <si>
    <t xml:space="preserve">TanStack Table, ECharts, react-hook-form</t>
  </si>
  <si>
    <t xml:space="preserve">F1-03, B2-17</t>
  </si>
  <si>
    <t xml:space="preserve">Số hiển thị 3-4 chữ số thập phân; cột sort được; dấu sao đúng ngưỡng</t>
  </si>
  <si>
    <t xml:space="preserve">F1-09</t>
  </si>
  <si>
    <t xml:space="preserve">Trang Models</t>
  </si>
  <si>
    <t xml:space="preserve">Trang So sánh mô hình + GRS + giả thuyết H1-H5</t>
  </si>
  <si>
    <t xml:space="preserve">Bảng Model | Adj R² | GRS | p-value | mean|α| (đúng mẫu mục 4.3 đề cương); bar chart Adj R² theo mô hình; 5 thẻ H1-H5 hiển thị Chấp nhận/Bác bỏ + số liệu; đánh dấu mô hình được chọn (best model).</t>
  </si>
  <si>
    <t xml:space="preserve">GET /regression/compare, /regression/grs, /regression/hypotheses, /model/best</t>
  </si>
  <si>
    <t xml:space="preserve">Trang /models</t>
  </si>
  <si>
    <t xml:space="preserve">Best model được highlight; tooltip giải thích GRS</t>
  </si>
  <si>
    <t xml:space="preserve">F1-10</t>
  </si>
  <si>
    <t xml:space="preserve">Trang Quantile</t>
  </si>
  <si>
    <t xml:space="preserve">Trang Hồi quy phân vị</t>
  </si>
  <si>
    <t xml:space="preserve">Biểu đồ hệ số β theo τ (0.1→0.9) cho từng nhân tố, kèm dải tin cậy; chọn mã/danh mục.</t>
  </si>
  <si>
    <t xml:space="preserve">GET /regression/quantile</t>
  </si>
  <si>
    <t xml:space="preserve">Trang /quantile</t>
  </si>
  <si>
    <t xml:space="preserve">F1-08, B2-07</t>
  </si>
  <si>
    <t xml:space="preserve">Trục τ đúng; có đường OLS tham chiếu</t>
  </si>
  <si>
    <t xml:space="preserve">F1-11</t>
  </si>
  <si>
    <t xml:space="preserve">Tiện ích</t>
  </si>
  <si>
    <t xml:space="preserve">Tiện ích bảng: sort/filter/export/CSV, format số</t>
  </si>
  <si>
    <t xml:space="preserve">Hàm format % / số thập phân / dấu sao ý nghĩa; nút Export CSV, Copy bảng; ghi nhớ cột hiển thị.</t>
  </si>
  <si>
    <t xml:space="preserve">Component DataTable</t>
  </si>
  <si>
    <t xml:space="preserve">Utils dùng cho cả 2 FE</t>
  </si>
  <si>
    <t xml:space="preserve">TypeScript</t>
  </si>
  <si>
    <t xml:space="preserve">FE2 dùng lại được cho bảng metrics</t>
  </si>
  <si>
    <t xml:space="preserve">F1-12</t>
  </si>
  <si>
    <t xml:space="preserve">Tích hợp</t>
  </si>
  <si>
    <t xml:space="preserve">Tích hợp API thật, xử lý loading/error</t>
  </si>
  <si>
    <t xml:space="preserve">Tắt mock, kiểm thử với API staging, xử lý lỗi (timeout, 4xx/5xx, dữ liệu rỗng), skeleton loading, retry, thông báo toast.</t>
  </si>
  <si>
    <t xml:space="preserve">API staging</t>
  </si>
  <si>
    <t xml:space="preserve">Trang chạy trên dữ liệu thật</t>
  </si>
  <si>
    <t xml:space="preserve">TanStack Query</t>
  </si>
  <si>
    <t xml:space="preserve">Không lỗi console; mọi trang có 3 trạng thái loading/empty/error</t>
  </si>
  <si>
    <t xml:space="preserve">F1-13</t>
  </si>
  <si>
    <t xml:space="preserve">Test component &amp; smoke test FE1</t>
  </si>
  <si>
    <t xml:space="preserve">Vitest + React Testing Library cho DataTable, format, các trang chính (render với mock).</t>
  </si>
  <si>
    <t xml:space="preserve">Code FE1</t>
  </si>
  <si>
    <t xml:space="preserve">Bộ test</t>
  </si>
  <si>
    <t xml:space="preserve">Vitest, RTL</t>
  </si>
  <si>
    <t xml:space="preserve">Test chạy trong CI; các trang chính có ít nhất 1 test render</t>
  </si>
  <si>
    <t xml:space="preserve">F2-01</t>
  </si>
  <si>
    <t xml:space="preserve">Thiết kế</t>
  </si>
  <si>
    <t xml:space="preserve">Wireframe/Figma toàn bộ dashboard</t>
  </si>
  <si>
    <t xml:space="preserve">Vẽ low-fi cho 10 trang, luồng người dùng: Dữ liệu → Nhân tố → Hồi quy → So sánh mô hình → Cấu hình → Tối ưu → Backtest → Kết luận. Chốt bố cục với BE để biết cần trường dữ liệu nào.</t>
  </si>
  <si>
    <t xml:space="preserve">Sheet 3 (logic), sheet 7 (API)</t>
  </si>
  <si>
    <t xml:space="preserve">File Figma, danh sách trường dữ liệu cần thêm</t>
  </si>
  <si>
    <t xml:space="preserve">Figma</t>
  </si>
  <si>
    <t xml:space="preserve">Cả nhóm duyệt wireframe trước cuối W1</t>
  </si>
  <si>
    <t xml:space="preserve">F2-02</t>
  </si>
  <si>
    <t xml:space="preserve">Mock</t>
  </si>
  <si>
    <t xml:space="preserve">Mock dữ liệu nhóm Portfolio/Backtest (MSW handlers)</t>
  </si>
  <si>
    <t xml:space="preserve">Viết handler MSW cho /portfolio/*, /backtest/*, /jobs/* theo contract để làm UI song song với BE2.</t>
  </si>
  <si>
    <t xml:space="preserve">openapi.json, ví dụ response</t>
  </si>
  <si>
    <t xml:space="preserve">src/mocks/portfolio.ts</t>
  </si>
  <si>
    <t xml:space="preserve">MSW, TypeScript</t>
  </si>
  <si>
    <t xml:space="preserve">B2-01, F1-04</t>
  </si>
  <si>
    <t xml:space="preserve">Giả lập được job pending→running→done</t>
  </si>
  <si>
    <t xml:space="preserve">F2-03</t>
  </si>
  <si>
    <t xml:space="preserve">Trang Config</t>
  </si>
  <si>
    <t xml:space="preserve">Bảng cấu hình tối ưu &amp; backtest</t>
  </si>
  <si>
    <t xml:space="preserve">Form: chọn mô hình (mặc định best), estimator Σ (Sample/Ledoit-Wolf/Semi), w_max, Rf, khoảng Train/Test, tần suất rebalance, phí mua/bán, nút Chạy. Validate bằng zod (w_max ≥ 1/30, train &lt; test...). Lưu preset.</t>
  </si>
  <si>
    <t xml:space="preserve">Schema config từ openapi.json</t>
  </si>
  <si>
    <t xml:space="preserve">Component ConfigPanel</t>
  </si>
  <si>
    <t xml:space="preserve">react-hook-form, zod</t>
  </si>
  <si>
    <t xml:space="preserve">F1-02, F2-02</t>
  </si>
  <si>
    <t xml:space="preserve">Không gửi được config sai; preset lưu trong localStorage</t>
  </si>
  <si>
    <t xml:space="preserve">F2-04</t>
  </si>
  <si>
    <t xml:space="preserve">Async</t>
  </si>
  <si>
    <t xml:space="preserve">Xử lý job bất đồng bộ (polling, tiến độ, cache)</t>
  </si>
  <si>
    <t xml:space="preserve">Hook useJob(jobId): polling mỗi 1-2s, trạng thái pending/running/done/failed, hiển thị thanh tiến độ, huỷ; dùng lại kết quả cached theo run_id.</t>
  </si>
  <si>
    <t xml:space="preserve">POST /portfolio/optimize, /backtest/run; GET /jobs/{id}</t>
  </si>
  <si>
    <t xml:space="preserve">Hook + UI trạng thái</t>
  </si>
  <si>
    <t xml:space="preserve">Reload trang vẫn tiếp tục theo dõi job (run_id nằm trên URL)</t>
  </si>
  <si>
    <t xml:space="preserve">F2-05</t>
  </si>
  <si>
    <t xml:space="preserve">Trang Frontier</t>
  </si>
  <si>
    <t xml:space="preserve">Trang Efficient Frontier</t>
  </si>
  <si>
    <t xml:space="preserve">Scatter/line rủi ro–lợi suất: 5,000 danh mục ngẫu nhiên (màu theo Sharpe), đường frontier, điểm Tangency (Max Sharpe), đường CML, từng cổ phiếu; hover xem weights.</t>
  </si>
  <si>
    <t xml:space="preserve">GET /portfolio/frontier</t>
  </si>
  <si>
    <t xml:space="preserve">Trang /frontier</t>
  </si>
  <si>
    <t xml:space="preserve">ECharts (scatter GL nếu cần)</t>
  </si>
  <si>
    <t xml:space="preserve">F2-04, B2-13</t>
  </si>
  <si>
    <t xml:space="preserve">Mượt với 5,000 điểm; trục % có nhãn rõ; tooltip đúng số</t>
  </si>
  <si>
    <t xml:space="preserve">F2-06</t>
  </si>
  <si>
    <t xml:space="preserve">Trang Weights</t>
  </si>
  <si>
    <t xml:space="preserve">Trang Tỷ trọng tối ưu</t>
  </si>
  <si>
    <t xml:space="preserve">Bar ngang top weights, donut theo ngành, bảng 30 mã (weight, μ, σ, beta chính), highlight ràng buộc w_max; so sánh weights với Equal Weight.</t>
  </si>
  <si>
    <t xml:space="preserve">GET /portfolio/weights</t>
  </si>
  <si>
    <t xml:space="preserve">Trang /weights</t>
  </si>
  <si>
    <t xml:space="preserve">ECharts, TanStack Table</t>
  </si>
  <si>
    <t xml:space="preserve">F2-04, B2-12</t>
  </si>
  <si>
    <t xml:space="preserve">Tổng weights = 100% hiển thị đúng; sort/filter</t>
  </si>
  <si>
    <t xml:space="preserve">F2-07</t>
  </si>
  <si>
    <t xml:space="preserve">Trang Backtest</t>
  </si>
  <si>
    <t xml:space="preserve">Equity Curve 3 danh mục</t>
  </si>
  <si>
    <t xml:space="preserve">Đường NAV VN30 vs Equal Weight vs Proposed; đường phân cách Train/Test; chọn thang log/tuyến tính; hiển thị chi phí giao dịch tích luỹ.</t>
  </si>
  <si>
    <t xml:space="preserve">GET /backtest/{id}/equity</t>
  </si>
  <si>
    <t xml:space="preserve">Trang /backtest (tab 1)</t>
  </si>
  <si>
    <t xml:space="preserve">F2-04, B2-14</t>
  </si>
  <si>
    <t xml:space="preserve">3 đường cùng gốc 100; zoom/brush thời gian</t>
  </si>
  <si>
    <t xml:space="preserve">F2-08</t>
  </si>
  <si>
    <t xml:space="preserve">Drawdown &amp; Rolling Sharpe</t>
  </si>
  <si>
    <t xml:space="preserve">Biểu đồ area drawdown 3 danh mục (đánh dấu MaxDD), đường Rolling Sharpe 60 ngày.</t>
  </si>
  <si>
    <t xml:space="preserve">GET /backtest/{id}/drawdown, /rolling-sharpe</t>
  </si>
  <si>
    <t xml:space="preserve">Tab 2-3 của /backtest</t>
  </si>
  <si>
    <t xml:space="preserve">F2-07, B2-16</t>
  </si>
  <si>
    <t xml:space="preserve">Điểm MaxDD hiển thị đúng ngày/giá trị</t>
  </si>
  <si>
    <t xml:space="preserve">F2-09</t>
  </si>
  <si>
    <t xml:space="preserve">Bảng so sánh chỉ số (CAGR, Sharpe, MaxDD...)</t>
  </si>
  <si>
    <t xml:space="preserve">Bảng VN30 | Equal Weight | Proposed với CAGR, Vol, Sharpe, Sortino, MaxDD, Calmar, Turnover; tô xanh giá trị tốt nhất; badge 'Vượt VN30?' cho RQ4.</t>
  </si>
  <si>
    <t xml:space="preserve">GET /backtest/{id}/metrics</t>
  </si>
  <si>
    <t xml:space="preserve">Component MetricsTable</t>
  </si>
  <si>
    <t xml:space="preserve">TanStack Table</t>
  </si>
  <si>
    <t xml:space="preserve">F1-11, B2-16</t>
  </si>
  <si>
    <t xml:space="preserve">Số khớp file export BE2</t>
  </si>
  <si>
    <t xml:space="preserve">F2-10</t>
  </si>
  <si>
    <t xml:space="preserve">Trang Sensitivity</t>
  </si>
  <si>
    <t xml:space="preserve">Heatmap độ nhạy</t>
  </si>
  <si>
    <t xml:space="preserve">Heatmap Sharpe/MaxDD theo w_max × estimator × phí; bấm ô để mở kết quả backtest chi tiết.</t>
  </si>
  <si>
    <t xml:space="preserve">GET /backtest/sensitivity</t>
  </si>
  <si>
    <t xml:space="preserve">Trang /sensitivity</t>
  </si>
  <si>
    <t xml:space="preserve">ECharts heatmap</t>
  </si>
  <si>
    <t xml:space="preserve">Có chú giải thang màu, hover ra số</t>
  </si>
  <si>
    <t xml:space="preserve">F2-11</t>
  </si>
  <si>
    <t xml:space="preserve">Trang Kết luận</t>
  </si>
  <si>
    <t xml:space="preserve">Trang Kết luận theo RQ1-RQ4</t>
  </si>
  <si>
    <t xml:space="preserve">Tự động tóm tắt: RQ1 (CAPM/FF3/FF5 giải thích thế nào), RQ2 (nhân tố thiếu), RQ3 (mô hình mở rộng có cải thiện?), RQ4 (danh mục vượt VN30?). Mỗi RQ có thẻ số liệu chính + link sang trang chi tiết. Không hard-code kết luận; đọc từ API.</t>
  </si>
  <si>
    <t xml:space="preserve">Các API kết quả</t>
  </si>
  <si>
    <t xml:space="preserve">Trang /conclusion</t>
  </si>
  <si>
    <t xml:space="preserve">React</t>
  </si>
  <si>
    <t xml:space="preserve">F1-09, F2-09</t>
  </si>
  <si>
    <t xml:space="preserve">Nội dung thay đổi đúng khi đổi cấu hình/chạy lại</t>
  </si>
  <si>
    <t xml:space="preserve">F2-12</t>
  </si>
  <si>
    <t xml:space="preserve">Export PNG/CSV/PDF từ biểu đồ &amp; trang</t>
  </si>
  <si>
    <t xml:space="preserve">Nút Tải ảnh biểu đồ (PNG), tải bảng (CSV), tải báo cáo (gọi /export). Dùng để lấy hình đưa vào báo cáo.</t>
  </si>
  <si>
    <t xml:space="preserve">Biểu đồ, bảng</t>
  </si>
  <si>
    <t xml:space="preserve">Nút export</t>
  </si>
  <si>
    <t xml:space="preserve">html-to-image, ECharts saveAsImage</t>
  </si>
  <si>
    <t xml:space="preserve">Ảnh xuất có tiêu đề, chú thích và nền trắng</t>
  </si>
  <si>
    <t xml:space="preserve">F2-13</t>
  </si>
  <si>
    <t xml:space="preserve">Responsive, hiệu năng, test E2E</t>
  </si>
  <si>
    <t xml:space="preserve">Playwright chạy luồng chính: đổi config → chạy tối ưu → xem frontier → backtest → xem metrics. Kiểm tra Lighthouse, bundle size (code-splitting theo route), accessibility cơ bản.</t>
  </si>
  <si>
    <t xml:space="preserve">Bản staging</t>
  </si>
  <si>
    <t xml:space="preserve">Test E2E, báo cáo Lighthouse</t>
  </si>
  <si>
    <t xml:space="preserve">Playwright, Lighthouse</t>
  </si>
  <si>
    <t xml:space="preserve">E2E xanh; Lighthouse Performance ≥80 trên desktop</t>
  </si>
  <si>
    <t xml:space="preserve">F2-14</t>
  </si>
  <si>
    <t xml:space="preserve">Build &amp; deploy frontend</t>
  </si>
  <si>
    <t xml:space="preserve">Build production (Vite), deploy Vercel/Netlify hoặc Nginx container, cấu hình VITE_API_URL trỏ API staging, bật cache tài nguyên tĩnh.</t>
  </si>
  <si>
    <t xml:space="preserve">Build FE</t>
  </si>
  <si>
    <t xml:space="preserve">URL public/staging</t>
  </si>
  <si>
    <t xml:space="preserve">Vercel/Nginx, GitHub Actions</t>
  </si>
  <si>
    <t xml:space="preserve">Truy cập được từ URL, dữ liệu hiển thị thật</t>
  </si>
  <si>
    <t xml:space="preserve">Ghi chú: giờ ước tính (cột L, chữ xanh) là giả định của người lập kế hoạch, có thể chỉnh; sheet 8 tự cập nhật theo.</t>
  </si>
  <si>
    <t xml:space="preserve">API CONTRACT (REST, prefix /api/v1)</t>
  </si>
  <si>
    <t xml:space="preserve">Envelope chung: {"data": ..., "meta": {...}, "error": null}. Lợi suất thập phân; ngày ISO-8601. Bản chính thức là openapi.json (BE2 duy trì). Job: POST trả {job_id}; GET /jobs/{job_id} trả {status, progress, run_id}.</t>
  </si>
  <si>
    <t xml:space="preserve">Method</t>
  </si>
  <si>
    <t xml:space="preserve">Endpoint</t>
  </si>
  <si>
    <t xml:space="preserve">Tham số (query/body)</t>
  </si>
  <si>
    <t xml:space="preserve">Response chính</t>
  </si>
  <si>
    <t xml:space="preserve">Owner (BE)</t>
  </si>
  <si>
    <t xml:space="preserve">Task FE dùng</t>
  </si>
  <si>
    <t xml:space="preserve">Có mock từ W1?</t>
  </si>
  <si>
    <t xml:space="preserve">GET</t>
  </si>
  <si>
    <t xml:space="preserve">/health</t>
  </si>
  <si>
    <t xml:space="preserve">Kiểm tra sống</t>
  </si>
  <si>
    <t xml:space="preserve">{status, version}</t>
  </si>
  <si>
    <t xml:space="preserve">Có</t>
  </si>
  <si>
    <t xml:space="preserve">/stocks</t>
  </si>
  <si>
    <t xml:space="preserve">Danh sách 30 mã, ngành</t>
  </si>
  <si>
    <t xml:space="preserve">[{ticker, company_name, sector}]</t>
  </si>
  <si>
    <t xml:space="preserve">/prices</t>
  </si>
  <si>
    <t xml:space="preserve">Giá &amp; khối lượng</t>
  </si>
  <si>
    <t xml:space="preserve">ticker, from, to, adjusted=true</t>
  </si>
  <si>
    <t xml:space="preserve">[{date, open, high, low, close, adj_close, volume, value}]</t>
  </si>
  <si>
    <t xml:space="preserve">/index</t>
  </si>
  <si>
    <t xml:space="preserve">Chỉ số VN30/VNINDEX</t>
  </si>
  <si>
    <t xml:space="preserve">code, from, to</t>
  </si>
  <si>
    <t xml:space="preserve">[{date, close}]</t>
  </si>
  <si>
    <t xml:space="preserve">/data/quality</t>
  </si>
  <si>
    <t xml:space="preserve">Báo cáo chất lượng dữ liệu</t>
  </si>
  <si>
    <t xml:space="preserve">{coverage_by_ticker[], missing_pct[], outliers[]}</t>
  </si>
  <si>
    <t xml:space="preserve">/factors</t>
  </si>
  <si>
    <t xml:space="preserve">Chuỗi nhân tố ngày</t>
  </si>
  <si>
    <t xml:space="preserve">from, to, factors=mkt,smb,...</t>
  </si>
  <si>
    <t xml:space="preserve">[{date, mkt, smb, hml, rmw, cma, liq, for_, vol}]</t>
  </si>
  <si>
    <t xml:space="preserve">/factors/stats</t>
  </si>
  <si>
    <t xml:space="preserve">Thống kê mô tả &amp; t-test</t>
  </si>
  <si>
    <t xml:space="preserve">from, to</t>
  </si>
  <si>
    <t xml:space="preserve">[{factor, mean, std, ann_mean, t_stat, p_value, skew, kurt}]</t>
  </si>
  <si>
    <t xml:space="preserve">/factors/correlation</t>
  </si>
  <si>
    <t xml:space="preserve">Ma trận tương quan</t>
  </si>
  <si>
    <t xml:space="preserve">{factors[], matrix[][]}</t>
  </si>
  <si>
    <t xml:space="preserve">/factors/cumulative</t>
  </si>
  <si>
    <t xml:space="preserve">Lợi suất luỹ kế</t>
  </si>
  <si>
    <t xml:space="preserve">[{date, mkt, smb, ...}] (base 100)</t>
  </si>
  <si>
    <t xml:space="preserve">/factors/compare-kf</t>
  </si>
  <si>
    <t xml:space="preserve">So sánh với Ken French</t>
  </si>
  <si>
    <t xml:space="preserve">factor</t>
  </si>
  <si>
    <t xml:space="preserve">{dates[], vn[], kf[], corr}</t>
  </si>
  <si>
    <t xml:space="preserve">POST</t>
  </si>
  <si>
    <t xml:space="preserve">/regression/run</t>
  </si>
  <si>
    <t xml:space="preserve">Chạy hồi quy (job)</t>
  </si>
  <si>
    <t xml:space="preserve">{models[], tickers[], freq, cov_type, start, end}</t>
  </si>
  <si>
    <t xml:space="preserve">{job_id}</t>
  </si>
  <si>
    <t xml:space="preserve">Không</t>
  </si>
  <si>
    <t xml:space="preserve">/regression/results</t>
  </si>
  <si>
    <t xml:space="preserve">Kết quả hồi quy</t>
  </si>
  <si>
    <t xml:space="preserve">model, ticker (tuỳ chọn), run_id</t>
  </si>
  <si>
    <t xml:space="preserve">[{ticker, model, alpha, alpha_t, alpha_p, betas{}, t{}, p{}, adj_r2, aic, bic, n_obs}]</t>
  </si>
  <si>
    <t xml:space="preserve">/regression/diagnostics</t>
  </si>
  <si>
    <t xml:space="preserve">model, run_id</t>
  </si>
  <si>
    <t xml:space="preserve">{vif{}, durbin_watson, bp_p, jb_p, adf{}}</t>
  </si>
  <si>
    <t xml:space="preserve">/regression/compare</t>
  </si>
  <si>
    <t xml:space="preserve">So sánh Adj R² giữa mô hình</t>
  </si>
  <si>
    <t xml:space="preserve">run_id</t>
  </si>
  <si>
    <t xml:space="preserve">[{model, avg_adj_r2, delta_adj_r2, grs, grs_p, mean_abs_alpha}]</t>
  </si>
  <si>
    <t xml:space="preserve">/regression/grs</t>
  </si>
  <si>
    <t xml:space="preserve">Kết quả GRS</t>
  </si>
  <si>
    <t xml:space="preserve">run_id, universe</t>
  </si>
  <si>
    <t xml:space="preserve">[{model, grs_stat, p_value, mean_abs_alpha}]</t>
  </si>
  <si>
    <t xml:space="preserve">/regression/hypotheses</t>
  </si>
  <si>
    <t xml:space="preserve">Kết luận H1-H5</t>
  </si>
  <si>
    <t xml:space="preserve">[{id, statement, statistic, p_value, verdict, note}]</t>
  </si>
  <si>
    <t xml:space="preserve">/regression/quantile</t>
  </si>
  <si>
    <t xml:space="preserve">Hồi quy phân vị</t>
  </si>
  <si>
    <t xml:space="preserve">model, ticker, taus</t>
  </si>
  <si>
    <t xml:space="preserve">[{tau, factor, coef, ci_low, ci_high}]</t>
  </si>
  <si>
    <t xml:space="preserve">/model/best</t>
  </si>
  <si>
    <t xml:space="preserve">Mô hình được chọn</t>
  </si>
  <si>
    <t xml:space="preserve">{model, criteria{}, ranking[]}</t>
  </si>
  <si>
    <t xml:space="preserve">/portfolio/optimize</t>
  </si>
  <si>
    <t xml:space="preserve">Tối ưu danh mục (job)</t>
  </si>
  <si>
    <t xml:space="preserve">{model, cov_estimator, w_max, rf, train_start, train_end, objective}</t>
  </si>
  <si>
    <t xml:space="preserve">/portfolio/weights</t>
  </si>
  <si>
    <t xml:space="preserve">[{ticker, weight, mu, sigma, sector}]</t>
  </si>
  <si>
    <t xml:space="preserve">/portfolio/frontier</t>
  </si>
  <si>
    <t xml:space="preserve">Efficient Frontier</t>
  </si>
  <si>
    <t xml:space="preserve">{frontier[], tangency{}, cml[], random[], assets[]}</t>
  </si>
  <si>
    <t xml:space="preserve">/backtest/run</t>
  </si>
  <si>
    <t xml:space="preserve">Chạy backtest (job)</t>
  </si>
  <si>
    <t xml:space="preserve">{run_id, mode: split|rolling, rebalance, fee_buy, fee_sell, test_start, test_end}</t>
  </si>
  <si>
    <t xml:space="preserve">/backtest/{run_id}/equity</t>
  </si>
  <si>
    <t xml:space="preserve">scale=linear|log</t>
  </si>
  <si>
    <t xml:space="preserve">{dates[], vn30[], equal[], proposed[], split_date}</t>
  </si>
  <si>
    <t xml:space="preserve">/backtest/{run_id}/drawdown</t>
  </si>
  <si>
    <t xml:space="preserve">Drawdown</t>
  </si>
  <si>
    <t xml:space="preserve">{dates[], vn30[], equal[], proposed[], max_dd{}}</t>
  </si>
  <si>
    <t xml:space="preserve">/backtest/{run_id}/rolling-sharpe</t>
  </si>
  <si>
    <t xml:space="preserve">Rolling Sharpe</t>
  </si>
  <si>
    <t xml:space="preserve">window=60</t>
  </si>
  <si>
    <t xml:space="preserve">{dates[], vn30[], equal[], proposed[]}</t>
  </si>
  <si>
    <t xml:space="preserve">/backtest/{run_id}/metrics</t>
  </si>
  <si>
    <t xml:space="preserve">[{portfolio, cagr, vol, sharpe, sortino, max_dd, calmar, turnover, cost}]</t>
  </si>
  <si>
    <t xml:space="preserve">/backtest/sensitivity</t>
  </si>
  <si>
    <t xml:space="preserve">Lưới độ nhạy</t>
  </si>
  <si>
    <t xml:space="preserve">[{w_max, estimator, fee, rebalance, sharpe, max_dd, cagr}]</t>
  </si>
  <si>
    <t xml:space="preserve">/jobs/{job_id}</t>
  </si>
  <si>
    <t xml:space="preserve">Trạng thái tác vụ nền</t>
  </si>
  <si>
    <t xml:space="preserve">{job_id, status, progress, run_id, error}</t>
  </si>
  <si>
    <t xml:space="preserve">/export</t>
  </si>
  <si>
    <t xml:space="preserve">Xuất báo cáo</t>
  </si>
  <si>
    <t xml:space="preserve">run_id, format=xlsx|csv</t>
  </si>
  <si>
    <t xml:space="preserve">file</t>
  </si>
  <si>
    <t xml:space="preserve">Mã lỗi: 400 tham số sai · 404 không có dữ liệu/run_id · 409 job đang chạy · 422 validate lỗi · 500 lỗi hệ thống. Body lỗi: {error:{code, message, details}}.</t>
  </si>
  <si>
    <t xml:space="preserve">TIẾN ĐỘ &amp; KHỐI LƯỢNG CÔNG VIỆC (tự tính từ sheet 6)</t>
  </si>
  <si>
    <t xml:space="preserve">Ô xanh là tham số nhập; các ô còn lại là công thức.</t>
  </si>
  <si>
    <t xml:space="preserve">Số tuần dự án</t>
  </si>
  <si>
    <t xml:space="preserve">← giả định của người lập kế hoạch, dùng để tính TB giờ/tuần</t>
  </si>
  <si>
    <t xml:space="preserve">A. TỔNG HỢP THEO THÀNH VIÊN</t>
  </si>
  <si>
    <t xml:space="preserve">Thành viên</t>
  </si>
  <si>
    <t xml:space="preserve">Số task riêng</t>
  </si>
  <si>
    <t xml:space="preserve">Giờ task riêng</t>
  </si>
  <si>
    <t xml:space="preserve">Giờ task chung (ALL)</t>
  </si>
  <si>
    <t xml:space="preserve">Tổng giờ</t>
  </si>
  <si>
    <t xml:space="preserve">TB giờ/tuần</t>
  </si>
  <si>
    <t xml:space="preserve">Task hoàn thành</t>
  </si>
  <si>
    <t xml:space="preserve">% hoàn thành</t>
  </si>
  <si>
    <t xml:space="preserve">Task bị chặn</t>
  </si>
  <si>
    <t xml:space="preserve">Frontend – Research Pages</t>
  </si>
  <si>
    <t xml:space="preserve">Frontend – Portfolio &amp; Backtest</t>
  </si>
  <si>
    <t xml:space="preserve">Tổng</t>
  </si>
  <si>
    <t xml:space="preserve">(ALL không cộng dồn)</t>
  </si>
  <si>
    <t xml:space="preserve">B. GIỜ LÀM THEO TUẦN (chia đều giờ của task trải đều từ tuần BĐ đến tuần KT; gồm phần ALL)</t>
  </si>
  <si>
    <t xml:space="preserve">Kiểm tra: tổng theo tuần = tổng giờ ở bảng A?</t>
  </si>
  <si>
    <t xml:space="preserve">C. MỐC TIẾN ĐỘ THEO TUẦN</t>
  </si>
  <si>
    <t xml:space="preserve">Tuần</t>
  </si>
  <si>
    <t xml:space="preserve">Trọng tâm</t>
  </si>
  <si>
    <t xml:space="preserve">Mốc (Milestone)</t>
  </si>
  <si>
    <t xml:space="preserve">W1</t>
  </si>
  <si>
    <t xml:space="preserve">Setup &amp; hợp đồng</t>
  </si>
  <si>
    <t xml:space="preserve">Repo+Docker+schema, mock data (B1-01..03)</t>
  </si>
  <si>
    <t xml:space="preserve">Chốt OpenAPI (B2-01)</t>
  </si>
  <si>
    <t xml:space="preserve">Khởi tạo FE, design system (F1-01,02)</t>
  </si>
  <si>
    <t xml:space="preserve">Wireframe (F2-01)</t>
  </si>
  <si>
    <t xml:space="preserve">M1: docker compose up chạy, FE gọi được /health, có mock cho mọi endpoint nhóm Data</t>
  </si>
  <si>
    <t xml:space="preserve">W2</t>
  </si>
  <si>
    <t xml:space="preserve">Collector giá, index, VN30 rổ, rf, fundamentals (B1-04..09)</t>
  </si>
  <si>
    <t xml:space="preserve">Hoàn thiện contract, chuẩn bị dataset skeleton</t>
  </si>
  <si>
    <t xml:space="preserve">Layout, routing, MSW (F1-03,04)</t>
  </si>
  <si>
    <t xml:space="preserve">Mock nhóm Portfolio (F2-02)</t>
  </si>
  <si>
    <t xml:space="preserve">M2: 30 mã × 2021-2025 có trong DB, coverage ≥95%</t>
  </si>
  <si>
    <t xml:space="preserve">W3</t>
  </si>
  <si>
    <t xml:space="preserve">Làm sạch &amp; nhân tố 1</t>
  </si>
  <si>
    <t xml:space="preserve">Clean, MKT, SMB, HML, Ken French (B1-10..13, B1-20)</t>
  </si>
  <si>
    <t xml:space="preserve">Dataset + engine CAPM/FF3 (B2-02,03)</t>
  </si>
  <si>
    <t xml:space="preserve">Trang Data (F1-05)</t>
  </si>
  <si>
    <t xml:space="preserve">Chờ / hỗ trợ FE1</t>
  </si>
  <si>
    <t xml:space="preserve">M3: factors_daily có MKT, SMB, HML; API Data chạy</t>
  </si>
  <si>
    <t xml:space="preserve">W4</t>
  </si>
  <si>
    <t xml:space="preserve">Nhân tố 2 &amp; FF5</t>
  </si>
  <si>
    <t xml:space="preserve">RMW, CMA, LIQ, FOR, VOL, thống kê, pipeline (B1-14..19)</t>
  </si>
  <si>
    <t xml:space="preserve">FF5, mở rộng, chẩn đoán (B2-03..05)</t>
  </si>
  <si>
    <t xml:space="preserve">Trang Factors + so sánh KF (F1-06,07)</t>
  </si>
  <si>
    <t xml:space="preserve">Chờ API (chuẩn bị component chung)</t>
  </si>
  <si>
    <t xml:space="preserve">M4: đủ 8 nhân tố; bảng hồi quy 6 mô hình</t>
  </si>
  <si>
    <t xml:space="preserve">W5</t>
  </si>
  <si>
    <t xml:space="preserve">Định giá &amp; chọn mô hình</t>
  </si>
  <si>
    <t xml:space="preserve">Test dữ liệu/nhân tố (B1-21)</t>
  </si>
  <si>
    <t xml:space="preserve">GRS, quantile, H1-H5, best model, μ, Σ (B2-06..11)</t>
  </si>
  <si>
    <t xml:space="preserve">Trang Regression, Models (F1-08,09)</t>
  </si>
  <si>
    <t xml:space="preserve">Config panel (F2-03)</t>
  </si>
  <si>
    <t xml:space="preserve">M5: bảng so sánh mô hình + kết luận H1-H5</t>
  </si>
  <si>
    <t xml:space="preserve">W6</t>
  </si>
  <si>
    <t xml:space="preserve">Hỗ trợ dữ liệu/bug</t>
  </si>
  <si>
    <t xml:space="preserve">Markowitz, frontier, backtest bắt đầu (B2-12..14)</t>
  </si>
  <si>
    <t xml:space="preserve">Trang Quantile, tiện ích (F1-10,11)</t>
  </si>
  <si>
    <t xml:space="preserve">Job hook, Frontier, Weights (F2-04..06)</t>
  </si>
  <si>
    <t xml:space="preserve">M6: Efficient Frontier + weights hiển thị trên UI</t>
  </si>
  <si>
    <t xml:space="preserve">W7</t>
  </si>
  <si>
    <t xml:space="preserve">Backtest &amp; tích hợp</t>
  </si>
  <si>
    <t xml:space="preserve">CI/CD + deploy staging (B1-22)</t>
  </si>
  <si>
    <t xml:space="preserve">Backtest, benchmark, metrics, độ nhạy, API (B2-14..19)</t>
  </si>
  <si>
    <t xml:space="preserve">Tích hợp API thật, test (F1-12,13)</t>
  </si>
  <si>
    <t xml:space="preserve">Equity, Drawdown, Metrics, Sensitivity (F2-07..10)</t>
  </si>
  <si>
    <t xml:space="preserve">M7: backtest 3 danh mục hiển thị đầy đủ trên staging</t>
  </si>
  <si>
    <t xml:space="preserve">W8</t>
  </si>
  <si>
    <t xml:space="preserve">Hoàn thiện &amp; bảo vệ</t>
  </si>
  <si>
    <t xml:space="preserve">Hỗ trợ / sửa lỗi</t>
  </si>
  <si>
    <t xml:space="preserve">Export, chốt số liệu (B2-20)</t>
  </si>
  <si>
    <t xml:space="preserve">Sửa lỗi, tài liệu</t>
  </si>
  <si>
    <t xml:space="preserve">Kết luận, export, E2E, deploy (F2-11..14)</t>
  </si>
  <si>
    <t xml:space="preserve">M8: demo end-to-end + báo cáo nộp</t>
  </si>
  <si>
    <t xml:space="preserve">QUY ƯỚC LÀM VIỆC, THAM SỐ MẶC ĐỊNH &amp; RỦI RO</t>
  </si>
  <si>
    <t xml:space="preserve">Các tham số dưới đây là quyết định mặc định của người lập kế hoạch; nhóm có thể đổi sau khi thống nhất, nhưng phải ghi lại trong báo cáo.</t>
  </si>
  <si>
    <t xml:space="preserve">A. THAM SỐ MẶC ĐỊNH (cấu hình được)</t>
  </si>
  <si>
    <t xml:space="preserve">Tham số</t>
  </si>
  <si>
    <t xml:space="preserve">Giá trị mặc định</t>
  </si>
  <si>
    <t xml:space="preserve">Universe</t>
  </si>
  <si>
    <t xml:space="preserve">30 mã VN30 (rổ cuối cùng) + kiểm tra độ bền với rổ theo thời điểm</t>
  </si>
  <si>
    <t xml:space="preserve">Thị trường (MKT)</t>
  </si>
  <si>
    <t xml:space="preserve">VN30 Index; kiểm tra thêm VNINDEX</t>
  </si>
  <si>
    <t xml:space="preserve">Tần suất hồi quy</t>
  </si>
  <si>
    <t xml:space="preserve">Ngày (thêm tuần/tháng để kiểm tra độ bền)</t>
  </si>
  <si>
    <t xml:space="preserve">Sai số chuẩn</t>
  </si>
  <si>
    <t xml:space="preserve">Newey-West HAC, lag = 5</t>
  </si>
  <si>
    <t xml:space="preserve">Sắp xếp nhân tố</t>
  </si>
  <si>
    <t xml:space="preserve">Size: median; B/M, ROE, tăng trưởng TS: 30/40/30; LIQ/FOR/VOL: top/bottom 30%; tái cân bằng 6 tháng</t>
  </si>
  <si>
    <t xml:space="preserve">Trọng số trong danh mục nhân tố</t>
  </si>
  <si>
    <t xml:space="preserve">Value-weighted (market cap); equal-weight để kiểm tra</t>
  </si>
  <si>
    <t xml:space="preserve">Độ trễ báo cáo tài chính</t>
  </si>
  <si>
    <t xml:space="preserve">Dùng số liệu từ report_date + 1 tháng</t>
  </si>
  <si>
    <t xml:space="preserve">Rf</t>
  </si>
  <si>
    <t xml:space="preserve">Lợi suất TPCP 1 năm; quy đổi ngày (1+r)^(1/252)−1</t>
  </si>
  <si>
    <t xml:space="preserve">Ước lượng μ</t>
  </si>
  <si>
    <t xml:space="preserve">Rf + Σ β·λ (λ = trung bình nhân tố Train ×252); không cộng α</t>
  </si>
  <si>
    <t xml:space="preserve">Ước lượng Σ</t>
  </si>
  <si>
    <t xml:space="preserve">Ledoit-Wolf (so sánh với Sample, Semi-Cov)</t>
  </si>
  <si>
    <t xml:space="preserve">Ràng buộc</t>
  </si>
  <si>
    <t xml:space="preserve">Long-only, Σw=1, w_max = 15%</t>
  </si>
  <si>
    <t xml:space="preserve">Chia mẫu</t>
  </si>
  <si>
    <t xml:space="preserve">Train 2021-01 → 2024-12; Test 2025-01 → 2025-12; thêm rolling 36 tháng, rebalance quý</t>
  </si>
  <si>
    <t xml:space="preserve">Phí giao dịch</t>
  </si>
  <si>
    <t xml:space="preserve">Mua 0.15%, bán 0.25% (gồm thuế bán 0.1%)</t>
  </si>
  <si>
    <t xml:space="preserve">Số phiên/năm</t>
  </si>
  <si>
    <t xml:space="preserve">252</t>
  </si>
  <si>
    <t xml:space="preserve">B. QUY ƯỚC CODE &amp; GIT</t>
  </si>
  <si>
    <t xml:space="preserve">Quy ước</t>
  </si>
  <si>
    <t xml:space="preserve">Nhánh</t>
  </si>
  <si>
    <t xml:space="preserve">main (ổn định) ← develop ← feature/&lt;mã task&gt;-&lt;mô tả&gt;, ví dụ feature/B2-03-ff5-regression</t>
  </si>
  <si>
    <t xml:space="preserve">Commit</t>
  </si>
  <si>
    <t xml:space="preserve">Conventional Commits: feat:, fix:, docs:, test:, refactor:, chore: + mã task</t>
  </si>
  <si>
    <t xml:space="preserve">Pull Request</t>
  </si>
  <si>
    <t xml:space="preserve">&lt;400 dòng, mô tả, ảnh chụp (FE), kết quả test; 1 approve; CI xanh mới merge</t>
  </si>
  <si>
    <t xml:space="preserve">Đặt tên</t>
  </si>
  <si>
    <t xml:space="preserve">Python: snake_case, type hints, docstring cho hàm công khai · TypeScript: camelCase, PascalCase cho component · DB: snake_case</t>
  </si>
  <si>
    <t xml:space="preserve">Định dạng</t>
  </si>
  <si>
    <t xml:space="preserve">Python: ruff + black · TS: ESLint + Prettier · chạy tự động bằng pre-commit</t>
  </si>
  <si>
    <t xml:space="preserve">Dữ liệu &amp; bí mật</t>
  </si>
  <si>
    <t xml:space="preserve">Không commit data/raw, .env, khoá API; dùng .env.example</t>
  </si>
  <si>
    <t xml:space="preserve">Tài liệu</t>
  </si>
  <si>
    <t xml:space="preserve">README mỗi thư mục lớn; docstring công thức có trích nguồn bài báo</t>
  </si>
  <si>
    <t xml:space="preserve">Definition of Done</t>
  </si>
  <si>
    <t xml:space="preserve">Code chạy → có test → qua lint → PR được review → tài liệu/Swagger cập nhật → cập nhật Trạng thái ở sheet 6</t>
  </si>
  <si>
    <t xml:space="preserve">C. RỦI RO &amp; CÁCH XỬ LÝ</t>
  </si>
  <si>
    <t xml:space="preserve">Rủi ro</t>
  </si>
  <si>
    <t xml:space="preserve">Cách xử lý</t>
  </si>
  <si>
    <t xml:space="preserve">Mức ảnh hưởng</t>
  </si>
  <si>
    <t xml:space="preserve">Xác suất</t>
  </si>
  <si>
    <t xml:space="preserve">API dữ liệu (vnstock/CTCK/cafef) đổi cấu trúc, giới hạn request hoặc thiếu lịch sử</t>
  </si>
  <si>
    <t xml:space="preserve">Cache raw về parquet ngay lần tải đầu; có nguồn dự phòng/CSV thủ công; retry + backoff; bắt đầu tải từ W2</t>
  </si>
  <si>
    <t xml:space="preserve">Cao</t>
  </si>
  <si>
    <t xml:space="preserve">Thiếu Book value, dữ liệu sở hữu nước ngoài theo ngày</t>
  </si>
  <si>
    <t xml:space="preserve">Dùng tần suất quý/tuần + ffill có ghi chú; loại mã thiếu kèm giải thích; báo cáo tỷ lệ thiếu</t>
  </si>
  <si>
    <t xml:space="preserve">Trung bình</t>
  </si>
  <si>
    <t xml:space="preserve">Look-ahead bias (dùng BCTC trước ngày công bố, dùng dữ liệu 2025 để ước lượng)</t>
  </si>
  <si>
    <t xml:space="preserve">Bắt buộc report_date; unit test không rò rỉ; Train/Test tách rõ</t>
  </si>
  <si>
    <t xml:space="preserve">Survivorship bias do rổ VN30 thay đổi</t>
  </si>
  <si>
    <t xml:space="preserve">Có bảng vn30_constituents; chạy kiểm tra độ bền; nêu trong hạn chế</t>
  </si>
  <si>
    <t xml:space="preserve">Chỉ 30 mã → danh mục nhân tố rất ít mã, nhiễu; 'Small' chỉ là nhỏ tương đối</t>
  </si>
  <si>
    <t xml:space="preserve">Chia 2×3 gọn, thử equal-weight, giải thích hạn chế trong Chương 5; không diễn giải quá mức</t>
  </si>
  <si>
    <t xml:space="preserve">Đa cộng tuyến giữa 8 nhân tố làm hệ số không ổn định</t>
  </si>
  <si>
    <t xml:space="preserve">VIF, trực giao hoá hoặc bỏ nhân tố; báo cáo</t>
  </si>
  <si>
    <t xml:space="preserve">μ nhiễu → tối ưu dồn vào ít mã</t>
  </si>
  <si>
    <t xml:space="preserve">Ràng buộc w_max, co rút μ, Ledoit-Wolf, chạy độ nhạy</t>
  </si>
  <si>
    <t xml:space="preserve">Kết quả 2025 không vượt VN30</t>
  </si>
  <si>
    <t xml:space="preserve">Vẫn là kết quả hợp lệ: ghi nhận trung thực, phân tích nguyên nhân, không chỉnh để 'thắng'</t>
  </si>
  <si>
    <t xml:space="preserve">Cả nhóm</t>
  </si>
  <si>
    <t xml:space="preserve">FE/BE lệch contract, FE chờ BE</t>
  </si>
  <si>
    <t xml:space="preserve">OpenAPI + MSW mock từ W1; đổi contract phải có version + thông báo</t>
  </si>
  <si>
    <t xml:space="preserve">BE2, FE1</t>
  </si>
  <si>
    <t xml:space="preserve">Trượt tiến độ (khối lượng BE2 lớn nhất ở W5-W7)</t>
  </si>
  <si>
    <t xml:space="preserve">BE1 hỗ trợ B2-18/19 nếu rảnh sau W5; cắt phạm vi: quantile &amp; sensitivity là 'nice-to-have' nếu trễ</t>
  </si>
  <si>
    <t xml:space="preserve">Hiệu năng biểu đồ (5,000 điểm frontier, 1,200 điểm × nhiều đường)</t>
  </si>
  <si>
    <t xml:space="preserve">Downsampling phía BE; ECharts scatterGL; lazy load theo route</t>
  </si>
  <si>
    <t xml:space="preserve">Thấp</t>
  </si>
</sst>
</file>

<file path=xl/styles.xml><?xml version="1.0" encoding="utf-8"?>
<styleSheet xmlns="http://schemas.openxmlformats.org/spreadsheetml/2006/main">
  <numFmts count="5">
    <numFmt numFmtId="164" formatCode="General"/>
    <numFmt numFmtId="165" formatCode="0.0"/>
    <numFmt numFmtId="166" formatCode="0%"/>
    <numFmt numFmtId="167" formatCode="General"/>
    <numFmt numFmtId="168" formatCode="\W0"/>
  </numFmts>
  <fonts count="14">
    <font>
      <sz val="11"/>
      <color theme="1"/>
      <name val="Calibri"/>
      <family val="2"/>
      <charset val="1"/>
    </font>
    <font>
      <sz val="10"/>
      <name val="Arial"/>
      <family val="0"/>
    </font>
    <font>
      <sz val="10"/>
      <name val="Arial"/>
      <family val="0"/>
    </font>
    <font>
      <sz val="10"/>
      <name val="Arial"/>
      <family val="0"/>
    </font>
    <font>
      <b val="true"/>
      <sz val="16"/>
      <color rgb="FF1F2A4A"/>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1F2A4A"/>
      <name val="Arial"/>
      <family val="0"/>
      <charset val="1"/>
    </font>
    <font>
      <sz val="9"/>
      <name val="Courier New"/>
      <family val="0"/>
      <charset val="1"/>
    </font>
    <font>
      <sz val="10"/>
      <color rgb="FF0000FF"/>
      <name val="Arial"/>
      <family val="0"/>
      <charset val="1"/>
    </font>
    <font>
      <i val="true"/>
      <sz val="9"/>
      <name val="Arial"/>
      <family val="0"/>
      <charset val="1"/>
    </font>
  </fonts>
  <fills count="11">
    <fill>
      <patternFill patternType="none"/>
    </fill>
    <fill>
      <patternFill patternType="gray125"/>
    </fill>
    <fill>
      <patternFill patternType="solid">
        <fgColor rgb="FFB8973A"/>
        <bgColor rgb="FF808000"/>
      </patternFill>
    </fill>
    <fill>
      <patternFill patternType="solid">
        <fgColor rgb="FF1F2A4A"/>
        <bgColor rgb="FF003366"/>
      </patternFill>
    </fill>
    <fill>
      <patternFill patternType="solid">
        <fgColor rgb="FFDCE6F5"/>
        <bgColor rgb="FFDDEFE0"/>
      </patternFill>
    </fill>
    <fill>
      <patternFill patternType="solid">
        <fgColor rgb="FFDDEFE0"/>
        <bgColor rgb="FFDCE6F5"/>
      </patternFill>
    </fill>
    <fill>
      <patternFill patternType="solid">
        <fgColor rgb="FFFCE8D5"/>
        <bgColor rgb="FFEEEEEE"/>
      </patternFill>
    </fill>
    <fill>
      <patternFill patternType="solid">
        <fgColor rgb="FFEBDDF3"/>
        <bgColor rgb="FFDCE6F5"/>
      </patternFill>
    </fill>
    <fill>
      <patternFill patternType="solid">
        <fgColor rgb="FFEEEEEE"/>
        <bgColor rgb="FFF0F0F0"/>
      </patternFill>
    </fill>
    <fill>
      <patternFill patternType="solid">
        <fgColor rgb="FFF0F0F0"/>
        <bgColor rgb="FFEEEEEE"/>
      </patternFill>
    </fill>
    <fill>
      <patternFill patternType="solid">
        <fgColor rgb="FFFFFF00"/>
        <bgColor rgb="FFFFFF00"/>
      </patternFill>
    </fill>
  </fills>
  <borders count="3">
    <border diagonalUp="false" diagonalDown="false">
      <left/>
      <right/>
      <top/>
      <bottom/>
      <diagonal/>
    </border>
    <border diagonalUp="false" diagonalDown="false">
      <left/>
      <right/>
      <top style="medium">
        <color rgb="FFB8973A"/>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7" fillId="6" borderId="0" xfId="0" applyFont="true" applyBorder="false" applyAlignment="true" applyProtection="false">
      <alignment horizontal="center" vertical="bottom" textRotation="0" wrapText="false" indent="0" shrinkToFit="false"/>
      <protection locked="true" hidden="false"/>
    </xf>
    <xf numFmtId="164" fontId="7" fillId="7" borderId="0" xfId="0" applyFont="true" applyBorder="false" applyAlignment="true" applyProtection="false">
      <alignment horizontal="center" vertical="bottom" textRotation="0" wrapText="false" indent="0" shrinkToFit="false"/>
      <protection locked="true" hidden="false"/>
    </xf>
    <xf numFmtId="164" fontId="7" fillId="8" borderId="0" xfId="0" applyFont="true" applyBorder="false" applyAlignment="true" applyProtection="false">
      <alignment horizontal="center" vertical="bottom" textRotation="0" wrapText="false" indent="0" shrinkToFit="false"/>
      <protection locked="true" hidden="false"/>
    </xf>
    <xf numFmtId="164" fontId="7" fillId="4"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7" fillId="9" borderId="2"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8"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12" fillId="0" borderId="2" xfId="0" applyFont="true" applyBorder="true" applyAlignment="true" applyProtection="false">
      <alignment horizontal="center"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10" borderId="0" xfId="0" applyFont="tru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7" fillId="5" borderId="2" xfId="0" applyFont="true" applyBorder="true" applyAlignment="false" applyProtection="false">
      <alignment horizontal="general" vertical="bottom" textRotation="0" wrapText="false" indent="0" shrinkToFit="false"/>
      <protection locked="true" hidden="false"/>
    </xf>
    <xf numFmtId="164" fontId="7" fillId="6" borderId="2" xfId="0" applyFont="true" applyBorder="true" applyAlignment="false" applyProtection="false">
      <alignment horizontal="general" vertical="bottom" textRotation="0" wrapText="false" indent="0" shrinkToFit="false"/>
      <protection locked="true" hidden="false"/>
    </xf>
    <xf numFmtId="164" fontId="7" fillId="7"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center"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2A4A"/>
          <bgColor rgb="FF000000"/>
        </patternFill>
      </fill>
    </dxf>
    <dxf>
      <fill>
        <patternFill patternType="solid">
          <bgColor rgb="FF000000"/>
        </patternFill>
      </fill>
    </dxf>
    <dxf>
      <fill>
        <patternFill patternType="solid">
          <fgColor rgb="FFFFFFFF"/>
          <bgColor rgb="FF000000"/>
        </patternFill>
      </fill>
    </dxf>
    <dxf>
      <fill>
        <patternFill patternType="solid">
          <fgColor rgb="FFDCE6F5"/>
          <bgColor rgb="FF000000"/>
        </patternFill>
      </fill>
    </dxf>
    <dxf>
      <fill>
        <patternFill patternType="solid">
          <fgColor rgb="FFDDEFE0"/>
          <bgColor rgb="FF000000"/>
        </patternFill>
      </fill>
    </dxf>
    <dxf>
      <fill>
        <patternFill patternType="solid">
          <fgColor rgb="FFEBDDF3"/>
          <bgColor rgb="FF000000"/>
        </patternFill>
      </fill>
    </dxf>
    <dxf>
      <fill>
        <patternFill patternType="solid">
          <fgColor rgb="FFEEEEEE"/>
          <bgColor rgb="FF000000"/>
        </patternFill>
      </fill>
    </dxf>
    <dxf>
      <fill>
        <patternFill patternType="solid">
          <fgColor rgb="FFFCE8D5"/>
          <bgColor rgb="FF000000"/>
        </patternFill>
      </fill>
    </dxf>
    <dxf>
      <fill>
        <patternFill patternType="solid">
          <fgColor rgb="FF0000FF"/>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BDDF3"/>
      <rgbColor rgb="FF808080"/>
      <rgbColor rgb="FF9999FF"/>
      <rgbColor rgb="FF993366"/>
      <rgbColor rgb="FFFCE8D5"/>
      <rgbColor rgb="FFDDEFE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5"/>
      <rgbColor rgb="FFC6EFCE"/>
      <rgbColor rgb="FFFFEB9C"/>
      <rgbColor rgb="FFEEEEEE"/>
      <rgbColor rgb="FFF0F0F0"/>
      <rgbColor rgb="FFCC99FF"/>
      <rgbColor rgb="FFFFC7CE"/>
      <rgbColor rgb="FF3366FF"/>
      <rgbColor rgb="FF33CCCC"/>
      <rgbColor rgb="FF99CC00"/>
      <rgbColor rgb="FFFFCC00"/>
      <rgbColor rgb="FFFF9900"/>
      <rgbColor rgb="FFFF6600"/>
      <rgbColor rgb="FF595959"/>
      <rgbColor rgb="FFB8973A"/>
      <rgbColor rgb="FF003366"/>
      <rgbColor rgb="FF339966"/>
      <rgbColor rgb="FF003300"/>
      <rgbColor rgb="FF333300"/>
      <rgbColor rgb="FF993300"/>
      <rgbColor rgb="FF993366"/>
      <rgbColor rgb="FF333399"/>
      <rgbColor rgb="FF1F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A"/>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42"/>
    <col collapsed="false" customWidth="true" hidden="false" outlineLevel="0" max="4" min="4" style="0" width="34"/>
    <col collapsed="false" customWidth="true" hidden="false" outlineLevel="0" max="5" min="5" style="0" width="14"/>
  </cols>
  <sheetData>
    <row r="1" customFormat="false" ht="25.5" hidden="false" customHeight="true" outlineLevel="0" collapsed="false">
      <c r="A1" s="1" t="s">
        <v>0</v>
      </c>
    </row>
    <row r="2" customFormat="false" ht="15" hidden="false" customHeight="false" outlineLevel="0" collapsed="false">
      <c r="A2" s="2" t="s">
        <v>1</v>
      </c>
    </row>
    <row r="3" customFormat="false" ht="15" hidden="false" customHeight="false" outlineLevel="0" collapsed="false">
      <c r="A3" s="3"/>
      <c r="B3" s="3"/>
      <c r="C3" s="3"/>
      <c r="D3" s="3"/>
    </row>
    <row r="5" customFormat="false" ht="15" hidden="false" customHeight="false" outlineLevel="0" collapsed="false">
      <c r="A5" s="4" t="s">
        <v>2</v>
      </c>
      <c r="B5" s="5"/>
      <c r="C5" s="5"/>
      <c r="D5" s="5"/>
    </row>
    <row r="6" customFormat="false" ht="31.5" hidden="false" customHeight="true" outlineLevel="0" collapsed="false">
      <c r="A6" s="6" t="s">
        <v>3</v>
      </c>
      <c r="B6" s="7" t="s">
        <v>4</v>
      </c>
      <c r="C6" s="7"/>
      <c r="D6" s="7"/>
    </row>
    <row r="7" customFormat="false" ht="31.5" hidden="false" customHeight="true" outlineLevel="0" collapsed="false">
      <c r="A7" s="6" t="s">
        <v>5</v>
      </c>
      <c r="B7" s="7" t="s">
        <v>6</v>
      </c>
      <c r="C7" s="7"/>
      <c r="D7" s="7"/>
    </row>
    <row r="8" customFormat="false" ht="18" hidden="false" customHeight="true" outlineLevel="0" collapsed="false">
      <c r="A8" s="6" t="s">
        <v>7</v>
      </c>
      <c r="B8" s="7" t="s">
        <v>8</v>
      </c>
      <c r="C8" s="7"/>
      <c r="D8" s="7"/>
    </row>
    <row r="9" customFormat="false" ht="31.5" hidden="false" customHeight="true" outlineLevel="0" collapsed="false">
      <c r="A9" s="6" t="s">
        <v>9</v>
      </c>
      <c r="B9" s="7" t="s">
        <v>10</v>
      </c>
      <c r="C9" s="7"/>
      <c r="D9" s="7"/>
    </row>
    <row r="10" customFormat="false" ht="18" hidden="false" customHeight="true" outlineLevel="0" collapsed="false">
      <c r="A10" s="6" t="s">
        <v>11</v>
      </c>
      <c r="B10" s="7" t="s">
        <v>12</v>
      </c>
      <c r="C10" s="7"/>
      <c r="D10" s="7"/>
    </row>
    <row r="11" customFormat="false" ht="18" hidden="false" customHeight="true" outlineLevel="0" collapsed="false">
      <c r="A11" s="6" t="s">
        <v>13</v>
      </c>
      <c r="B11" s="7" t="s">
        <v>14</v>
      </c>
      <c r="C11" s="7"/>
      <c r="D11" s="7"/>
    </row>
    <row r="12" customFormat="false" ht="31.5" hidden="false" customHeight="true" outlineLevel="0" collapsed="false">
      <c r="A12" s="6" t="s">
        <v>15</v>
      </c>
      <c r="B12" s="7" t="s">
        <v>16</v>
      </c>
      <c r="C12" s="7"/>
      <c r="D12" s="7"/>
    </row>
    <row r="14" customFormat="false" ht="15" hidden="false" customHeight="false" outlineLevel="0" collapsed="false">
      <c r="A14" s="4" t="s">
        <v>17</v>
      </c>
      <c r="B14" s="5"/>
      <c r="C14" s="5"/>
      <c r="D14" s="5"/>
    </row>
    <row r="15" customFormat="false" ht="30" hidden="false" customHeight="true" outlineLevel="0" collapsed="false">
      <c r="A15" s="8" t="s">
        <v>18</v>
      </c>
      <c r="B15" s="8" t="s">
        <v>19</v>
      </c>
      <c r="C15" s="8" t="s">
        <v>20</v>
      </c>
      <c r="D15" s="8" t="s">
        <v>21</v>
      </c>
    </row>
    <row r="16" customFormat="false" ht="15" hidden="false" customHeight="false" outlineLevel="0" collapsed="false">
      <c r="A16" s="9" t="s">
        <v>22</v>
      </c>
      <c r="B16" s="9" t="s">
        <v>23</v>
      </c>
      <c r="C16" s="9" t="s">
        <v>24</v>
      </c>
      <c r="D16" s="9" t="s">
        <v>25</v>
      </c>
    </row>
    <row r="17" customFormat="false" ht="23.85" hidden="false" customHeight="false" outlineLevel="0" collapsed="false">
      <c r="A17" s="9" t="s">
        <v>26</v>
      </c>
      <c r="B17" s="9" t="s">
        <v>27</v>
      </c>
      <c r="C17" s="9" t="s">
        <v>28</v>
      </c>
      <c r="D17" s="9" t="s">
        <v>29</v>
      </c>
    </row>
    <row r="18" customFormat="false" ht="15" hidden="false" customHeight="false" outlineLevel="0" collapsed="false">
      <c r="A18" s="9" t="s">
        <v>30</v>
      </c>
      <c r="B18" s="9" t="s">
        <v>31</v>
      </c>
      <c r="C18" s="9" t="s">
        <v>32</v>
      </c>
      <c r="D18" s="9" t="s">
        <v>33</v>
      </c>
    </row>
    <row r="19" customFormat="false" ht="15" hidden="false" customHeight="false" outlineLevel="0" collapsed="false">
      <c r="A19" s="9" t="s">
        <v>34</v>
      </c>
      <c r="B19" s="9" t="s">
        <v>35</v>
      </c>
      <c r="C19" s="9" t="s">
        <v>36</v>
      </c>
      <c r="D19" s="9" t="s">
        <v>37</v>
      </c>
    </row>
    <row r="20" customFormat="false" ht="15" hidden="false" customHeight="false" outlineLevel="0" collapsed="false">
      <c r="A20" s="9" t="s">
        <v>38</v>
      </c>
      <c r="B20" s="9" t="s">
        <v>39</v>
      </c>
      <c r="C20" s="9" t="s">
        <v>40</v>
      </c>
      <c r="D20" s="9" t="s">
        <v>33</v>
      </c>
    </row>
    <row r="21" customFormat="false" ht="15" hidden="false" customHeight="false" outlineLevel="0" collapsed="false">
      <c r="A21" s="9" t="s">
        <v>41</v>
      </c>
      <c r="B21" s="9" t="s">
        <v>42</v>
      </c>
      <c r="C21" s="9" t="s">
        <v>40</v>
      </c>
      <c r="D21" s="9" t="s">
        <v>33</v>
      </c>
    </row>
    <row r="22" customFormat="false" ht="15" hidden="false" customHeight="false" outlineLevel="0" collapsed="false">
      <c r="A22" s="9" t="s">
        <v>43</v>
      </c>
      <c r="B22" s="9" t="s">
        <v>44</v>
      </c>
      <c r="C22" s="9" t="s">
        <v>40</v>
      </c>
      <c r="D22" s="9" t="s">
        <v>33</v>
      </c>
    </row>
    <row r="23" customFormat="false" ht="15" hidden="false" customHeight="false" outlineLevel="0" collapsed="false">
      <c r="A23" s="9" t="s">
        <v>45</v>
      </c>
      <c r="B23" s="9" t="s">
        <v>46</v>
      </c>
      <c r="C23" s="9" t="s">
        <v>40</v>
      </c>
      <c r="D23" s="9" t="s">
        <v>33</v>
      </c>
    </row>
    <row r="24" customFormat="false" ht="15" hidden="false" customHeight="false" outlineLevel="0" collapsed="false">
      <c r="A24" s="9" t="s">
        <v>47</v>
      </c>
      <c r="B24" s="9" t="s">
        <v>48</v>
      </c>
      <c r="C24" s="9" t="s">
        <v>40</v>
      </c>
      <c r="D24" s="9" t="s">
        <v>33</v>
      </c>
    </row>
    <row r="26" customFormat="false" ht="15" hidden="false" customHeight="false" outlineLevel="0" collapsed="false">
      <c r="A26" s="4" t="s">
        <v>49</v>
      </c>
      <c r="B26" s="5"/>
      <c r="C26" s="5"/>
      <c r="D26" s="5"/>
    </row>
    <row r="27" customFormat="false" ht="30" hidden="false" customHeight="true" outlineLevel="0" collapsed="false">
      <c r="A27" s="8" t="s">
        <v>50</v>
      </c>
      <c r="B27" s="8" t="s">
        <v>19</v>
      </c>
      <c r="C27" s="8" t="s">
        <v>51</v>
      </c>
      <c r="D27" s="8" t="s">
        <v>52</v>
      </c>
    </row>
    <row r="28" customFormat="false" ht="15" hidden="false" customHeight="false" outlineLevel="0" collapsed="false">
      <c r="A28" s="9" t="s">
        <v>53</v>
      </c>
      <c r="B28" s="9" t="s">
        <v>54</v>
      </c>
      <c r="C28" s="9" t="s">
        <v>55</v>
      </c>
      <c r="D28" s="9" t="s">
        <v>56</v>
      </c>
    </row>
    <row r="29" customFormat="false" ht="23.85" hidden="false" customHeight="false" outlineLevel="0" collapsed="false">
      <c r="A29" s="9" t="s">
        <v>57</v>
      </c>
      <c r="B29" s="9" t="s">
        <v>58</v>
      </c>
      <c r="C29" s="9" t="s">
        <v>55</v>
      </c>
      <c r="D29" s="9" t="s">
        <v>59</v>
      </c>
    </row>
    <row r="30" customFormat="false" ht="23.85" hidden="false" customHeight="false" outlineLevel="0" collapsed="false">
      <c r="A30" s="9" t="s">
        <v>60</v>
      </c>
      <c r="B30" s="9" t="s">
        <v>61</v>
      </c>
      <c r="C30" s="9" t="s">
        <v>62</v>
      </c>
      <c r="D30" s="9" t="s">
        <v>63</v>
      </c>
    </row>
    <row r="31" customFormat="false" ht="23.85" hidden="false" customHeight="false" outlineLevel="0" collapsed="false">
      <c r="A31" s="9" t="s">
        <v>64</v>
      </c>
      <c r="B31" s="9" t="s">
        <v>65</v>
      </c>
      <c r="C31" s="9" t="s">
        <v>66</v>
      </c>
      <c r="D31" s="9" t="s">
        <v>67</v>
      </c>
    </row>
    <row r="32" customFormat="false" ht="23.85" hidden="false" customHeight="false" outlineLevel="0" collapsed="false">
      <c r="A32" s="9" t="s">
        <v>68</v>
      </c>
      <c r="B32" s="9" t="s">
        <v>69</v>
      </c>
      <c r="C32" s="9" t="s">
        <v>55</v>
      </c>
      <c r="D32" s="9" t="s">
        <v>70</v>
      </c>
    </row>
    <row r="33" customFormat="false" ht="15" hidden="false" customHeight="false" outlineLevel="0" collapsed="false">
      <c r="A33" s="9" t="s">
        <v>71</v>
      </c>
      <c r="B33" s="9" t="s">
        <v>72</v>
      </c>
      <c r="C33" s="9" t="s">
        <v>73</v>
      </c>
      <c r="D33" s="9" t="s">
        <v>74</v>
      </c>
    </row>
    <row r="34" customFormat="false" ht="23.85" hidden="false" customHeight="false" outlineLevel="0" collapsed="false">
      <c r="A34" s="9" t="s">
        <v>75</v>
      </c>
      <c r="B34" s="9" t="s">
        <v>76</v>
      </c>
      <c r="C34" s="9" t="s">
        <v>77</v>
      </c>
      <c r="D34" s="9" t="s">
        <v>78</v>
      </c>
    </row>
    <row r="35" customFormat="false" ht="23.85" hidden="false" customHeight="false" outlineLevel="0" collapsed="false">
      <c r="A35" s="9" t="s">
        <v>79</v>
      </c>
      <c r="B35" s="9" t="s">
        <v>80</v>
      </c>
      <c r="C35" s="9" t="s">
        <v>55</v>
      </c>
      <c r="D35" s="9"/>
    </row>
    <row r="37" customFormat="false" ht="15" hidden="false" customHeight="false" outlineLevel="0" collapsed="false">
      <c r="A37" s="10" t="s">
        <v>81</v>
      </c>
      <c r="B37" s="11" t="s">
        <v>82</v>
      </c>
      <c r="C37" s="12" t="s">
        <v>83</v>
      </c>
      <c r="D37" s="13" t="s">
        <v>84</v>
      </c>
      <c r="E37" s="14" t="s">
        <v>85</v>
      </c>
      <c r="F37" s="15" t="s">
        <v>86</v>
      </c>
    </row>
  </sheetData>
  <mergeCells count="7">
    <mergeCell ref="B6:D6"/>
    <mergeCell ref="B7:D7"/>
    <mergeCell ref="B8:D8"/>
    <mergeCell ref="B9:D9"/>
    <mergeCell ref="B10:D10"/>
    <mergeCell ref="B11:D11"/>
    <mergeCell ref="B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A"/>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2"/>
    <col collapsed="false" customWidth="true" hidden="false" outlineLevel="0" max="4" min="4" style="0" width="22"/>
    <col collapsed="false" customWidth="true" hidden="false" outlineLevel="0" max="5" min="5" style="0" width="40"/>
    <col collapsed="false" customWidth="true" hidden="false" outlineLevel="0" max="6" min="6" style="0" width="42"/>
    <col collapsed="false" customWidth="true" hidden="false" outlineLevel="0" max="7" min="7" style="0" width="40"/>
    <col collapsed="false" customWidth="true" hidden="false" outlineLevel="0" max="8" min="8" style="0" width="24"/>
  </cols>
  <sheetData>
    <row r="1" customFormat="false" ht="25.5" hidden="false" customHeight="true" outlineLevel="0" collapsed="false">
      <c r="A1" s="1" t="s">
        <v>87</v>
      </c>
    </row>
    <row r="2" customFormat="false" ht="15" hidden="false" customHeight="false" outlineLevel="0" collapsed="false">
      <c r="A2" s="2" t="s">
        <v>88</v>
      </c>
    </row>
    <row r="3" customFormat="false" ht="15" hidden="false" customHeight="false" outlineLevel="0" collapsed="false">
      <c r="A3" s="3"/>
      <c r="B3" s="3"/>
      <c r="C3" s="3"/>
      <c r="D3" s="3"/>
      <c r="E3" s="3"/>
      <c r="F3" s="3"/>
      <c r="G3" s="3"/>
    </row>
    <row r="5" customFormat="false" ht="30" hidden="false" customHeight="true" outlineLevel="0" collapsed="false">
      <c r="A5" s="8" t="s">
        <v>18</v>
      </c>
      <c r="B5" s="8" t="s">
        <v>89</v>
      </c>
      <c r="C5" s="8" t="s">
        <v>90</v>
      </c>
      <c r="D5" s="8" t="s">
        <v>91</v>
      </c>
      <c r="E5" s="8" t="s">
        <v>92</v>
      </c>
      <c r="F5" s="8" t="s">
        <v>93</v>
      </c>
      <c r="G5" s="8" t="s">
        <v>94</v>
      </c>
      <c r="H5" s="8" t="s">
        <v>95</v>
      </c>
    </row>
    <row r="6" customFormat="false" ht="35.05" hidden="false" customHeight="false" outlineLevel="0" collapsed="false">
      <c r="A6" s="16" t="s">
        <v>82</v>
      </c>
      <c r="B6" s="9" t="s">
        <v>96</v>
      </c>
      <c r="C6" s="9" t="s">
        <v>97</v>
      </c>
      <c r="D6" s="9" t="s">
        <v>98</v>
      </c>
      <c r="E6" s="9" t="s">
        <v>99</v>
      </c>
      <c r="F6" s="9" t="s">
        <v>100</v>
      </c>
      <c r="G6" s="9" t="s">
        <v>101</v>
      </c>
      <c r="H6" s="9" t="s">
        <v>102</v>
      </c>
    </row>
    <row r="7" customFormat="false" ht="46.25" hidden="false" customHeight="false" outlineLevel="0" collapsed="false">
      <c r="A7" s="17" t="s">
        <v>83</v>
      </c>
      <c r="B7" s="9" t="s">
        <v>103</v>
      </c>
      <c r="C7" s="9" t="s">
        <v>104</v>
      </c>
      <c r="D7" s="9" t="s">
        <v>105</v>
      </c>
      <c r="E7" s="9" t="s">
        <v>106</v>
      </c>
      <c r="F7" s="9" t="s">
        <v>107</v>
      </c>
      <c r="G7" s="9" t="s">
        <v>108</v>
      </c>
      <c r="H7" s="9" t="s">
        <v>109</v>
      </c>
    </row>
    <row r="8" customFormat="false" ht="35.05" hidden="false" customHeight="false" outlineLevel="0" collapsed="false">
      <c r="A8" s="18" t="s">
        <v>84</v>
      </c>
      <c r="B8" s="9" t="s">
        <v>110</v>
      </c>
      <c r="C8" s="9" t="s">
        <v>111</v>
      </c>
      <c r="D8" s="9" t="s">
        <v>112</v>
      </c>
      <c r="E8" s="9" t="s">
        <v>113</v>
      </c>
      <c r="F8" s="9" t="s">
        <v>114</v>
      </c>
      <c r="G8" s="9" t="s">
        <v>115</v>
      </c>
      <c r="H8" s="9" t="s">
        <v>116</v>
      </c>
    </row>
    <row r="9" customFormat="false" ht="35.05" hidden="false" customHeight="false" outlineLevel="0" collapsed="false">
      <c r="A9" s="19" t="s">
        <v>85</v>
      </c>
      <c r="B9" s="9" t="s">
        <v>117</v>
      </c>
      <c r="C9" s="9" t="s">
        <v>118</v>
      </c>
      <c r="D9" s="9" t="s">
        <v>119</v>
      </c>
      <c r="E9" s="9" t="s">
        <v>120</v>
      </c>
      <c r="F9" s="9" t="s">
        <v>121</v>
      </c>
      <c r="G9" s="9" t="s">
        <v>122</v>
      </c>
      <c r="H9" s="9" t="s">
        <v>123</v>
      </c>
    </row>
    <row r="11" customFormat="false" ht="15" hidden="false" customHeight="false" outlineLevel="0" collapsed="false">
      <c r="A11" s="4" t="s">
        <v>124</v>
      </c>
      <c r="B11" s="5"/>
      <c r="C11" s="5"/>
      <c r="D11" s="5"/>
      <c r="E11" s="5"/>
      <c r="F11" s="5"/>
      <c r="G11" s="5"/>
      <c r="H11" s="5"/>
    </row>
    <row r="12" customFormat="false" ht="30" hidden="false" customHeight="true" outlineLevel="0" collapsed="false">
      <c r="A12" s="7" t="s">
        <v>125</v>
      </c>
      <c r="B12" s="7"/>
      <c r="C12" s="7"/>
      <c r="D12" s="7"/>
      <c r="E12" s="7"/>
      <c r="F12" s="7"/>
      <c r="G12" s="7"/>
      <c r="H12" s="7"/>
    </row>
    <row r="13" customFormat="false" ht="30" hidden="false" customHeight="true" outlineLevel="0" collapsed="false">
      <c r="A13" s="7" t="s">
        <v>126</v>
      </c>
      <c r="B13" s="7"/>
      <c r="C13" s="7"/>
      <c r="D13" s="7"/>
      <c r="E13" s="7"/>
      <c r="F13" s="7"/>
      <c r="G13" s="7"/>
      <c r="H13" s="7"/>
    </row>
    <row r="14" customFormat="false" ht="30" hidden="false" customHeight="true" outlineLevel="0" collapsed="false">
      <c r="A14" s="7" t="s">
        <v>127</v>
      </c>
      <c r="B14" s="7"/>
      <c r="C14" s="7"/>
      <c r="D14" s="7"/>
      <c r="E14" s="7"/>
      <c r="F14" s="7"/>
      <c r="G14" s="7"/>
      <c r="H14" s="7"/>
    </row>
    <row r="15" customFormat="false" ht="30" hidden="false" customHeight="true" outlineLevel="0" collapsed="false">
      <c r="A15" s="7" t="s">
        <v>128</v>
      </c>
      <c r="B15" s="7"/>
      <c r="C15" s="7"/>
      <c r="D15" s="7"/>
      <c r="E15" s="7"/>
      <c r="F15" s="7"/>
      <c r="G15" s="7"/>
      <c r="H15" s="7"/>
    </row>
    <row r="16" customFormat="false" ht="30" hidden="false" customHeight="true" outlineLevel="0" collapsed="false">
      <c r="A16" s="7" t="s">
        <v>129</v>
      </c>
      <c r="B16" s="7"/>
      <c r="C16" s="7"/>
      <c r="D16" s="7"/>
      <c r="E16" s="7"/>
      <c r="F16" s="7"/>
      <c r="G16" s="7"/>
      <c r="H16" s="7"/>
    </row>
    <row r="17" customFormat="false" ht="30" hidden="false" customHeight="true" outlineLevel="0" collapsed="false">
      <c r="A17" s="7" t="s">
        <v>130</v>
      </c>
      <c r="B17" s="7"/>
      <c r="C17" s="7"/>
      <c r="D17" s="7"/>
      <c r="E17" s="7"/>
      <c r="F17" s="7"/>
      <c r="G17" s="7"/>
      <c r="H17" s="7"/>
    </row>
  </sheetData>
  <mergeCells count="6">
    <mergeCell ref="A12:H12"/>
    <mergeCell ref="A13:H13"/>
    <mergeCell ref="A14:H14"/>
    <mergeCell ref="A15:H15"/>
    <mergeCell ref="A16:H16"/>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44"/>
    <col collapsed="false" customWidth="true" hidden="false" outlineLevel="0" max="4" min="4" style="0" width="60"/>
    <col collapsed="false" customWidth="true" hidden="false" outlineLevel="0" max="6" min="5" style="0" width="32"/>
    <col collapsed="false" customWidth="true" hidden="false" outlineLevel="0" max="7" min="7" style="0" width="10"/>
    <col collapsed="false" customWidth="true" hidden="false" outlineLevel="0" max="8" min="8" style="0" width="50"/>
  </cols>
  <sheetData>
    <row r="1" customFormat="false" ht="25.5" hidden="false" customHeight="true" outlineLevel="0" collapsed="false">
      <c r="A1" s="1" t="s">
        <v>131</v>
      </c>
    </row>
    <row r="2" customFormat="false" ht="15" hidden="false" customHeight="false" outlineLevel="0" collapsed="false">
      <c r="A2" s="2" t="s">
        <v>132</v>
      </c>
    </row>
    <row r="3" customFormat="false" ht="15" hidden="false" customHeight="false" outlineLevel="0" collapsed="false">
      <c r="A3" s="3"/>
      <c r="B3" s="3"/>
      <c r="C3" s="3"/>
      <c r="D3" s="3"/>
      <c r="E3" s="3"/>
      <c r="F3" s="3"/>
      <c r="G3" s="3"/>
      <c r="H3" s="3"/>
    </row>
    <row r="5" customFormat="false" ht="30" hidden="false" customHeight="true" outlineLevel="0" collapsed="false">
      <c r="A5" s="8" t="s">
        <v>133</v>
      </c>
      <c r="B5" s="8" t="s">
        <v>134</v>
      </c>
      <c r="C5" s="8" t="s">
        <v>135</v>
      </c>
      <c r="D5" s="8" t="s">
        <v>136</v>
      </c>
      <c r="E5" s="8" t="s">
        <v>137</v>
      </c>
      <c r="F5" s="8" t="s">
        <v>138</v>
      </c>
      <c r="G5" s="8" t="s">
        <v>139</v>
      </c>
      <c r="H5" s="8" t="s">
        <v>140</v>
      </c>
    </row>
    <row r="6" customFormat="false" ht="35.05" hidden="false" customHeight="false" outlineLevel="0" collapsed="false">
      <c r="A6" s="9" t="s">
        <v>141</v>
      </c>
      <c r="B6" s="9" t="s">
        <v>142</v>
      </c>
      <c r="C6" s="9" t="s">
        <v>143</v>
      </c>
      <c r="D6" s="9" t="s">
        <v>144</v>
      </c>
      <c r="E6" s="9" t="s">
        <v>145</v>
      </c>
      <c r="F6" s="9" t="s">
        <v>146</v>
      </c>
      <c r="G6" s="16" t="s">
        <v>82</v>
      </c>
      <c r="H6" s="9" t="s">
        <v>147</v>
      </c>
    </row>
    <row r="7" customFormat="false" ht="23.85" hidden="false" customHeight="false" outlineLevel="0" collapsed="false">
      <c r="A7" s="9" t="s">
        <v>148</v>
      </c>
      <c r="B7" s="9" t="s">
        <v>149</v>
      </c>
      <c r="C7" s="9" t="s">
        <v>150</v>
      </c>
      <c r="D7" s="9" t="s">
        <v>151</v>
      </c>
      <c r="E7" s="9" t="s">
        <v>152</v>
      </c>
      <c r="F7" s="9" t="s">
        <v>153</v>
      </c>
      <c r="G7" s="16" t="s">
        <v>82</v>
      </c>
      <c r="H7" s="9" t="s">
        <v>154</v>
      </c>
    </row>
    <row r="8" customFormat="false" ht="46.25" hidden="false" customHeight="false" outlineLevel="0" collapsed="false">
      <c r="A8" s="9" t="s">
        <v>155</v>
      </c>
      <c r="B8" s="9" t="s">
        <v>156</v>
      </c>
      <c r="C8" s="9" t="s">
        <v>157</v>
      </c>
      <c r="D8" s="9" t="s">
        <v>158</v>
      </c>
      <c r="E8" s="9" t="s">
        <v>159</v>
      </c>
      <c r="F8" s="9" t="s">
        <v>160</v>
      </c>
      <c r="G8" s="16" t="s">
        <v>82</v>
      </c>
      <c r="H8" s="9" t="s">
        <v>161</v>
      </c>
    </row>
    <row r="9" customFormat="false" ht="46.25" hidden="false" customHeight="false" outlineLevel="0" collapsed="false">
      <c r="A9" s="9" t="s">
        <v>162</v>
      </c>
      <c r="B9" s="9" t="s">
        <v>163</v>
      </c>
      <c r="C9" s="9" t="s">
        <v>164</v>
      </c>
      <c r="D9" s="9" t="s">
        <v>165</v>
      </c>
      <c r="E9" s="9" t="s">
        <v>166</v>
      </c>
      <c r="F9" s="9" t="s">
        <v>167</v>
      </c>
      <c r="G9" s="16" t="s">
        <v>82</v>
      </c>
      <c r="H9" s="9" t="s">
        <v>168</v>
      </c>
    </row>
    <row r="10" customFormat="false" ht="23.85" hidden="false" customHeight="false" outlineLevel="0" collapsed="false">
      <c r="A10" s="9" t="s">
        <v>169</v>
      </c>
      <c r="B10" s="9" t="s">
        <v>170</v>
      </c>
      <c r="C10" s="9" t="s">
        <v>171</v>
      </c>
      <c r="D10" s="9" t="s">
        <v>172</v>
      </c>
      <c r="E10" s="9" t="s">
        <v>173</v>
      </c>
      <c r="F10" s="9" t="s">
        <v>174</v>
      </c>
      <c r="G10" s="16" t="s">
        <v>82</v>
      </c>
      <c r="H10" s="9" t="s">
        <v>175</v>
      </c>
    </row>
    <row r="11" customFormat="false" ht="35.05" hidden="false" customHeight="false" outlineLevel="0" collapsed="false">
      <c r="A11" s="9" t="s">
        <v>176</v>
      </c>
      <c r="B11" s="9" t="s">
        <v>177</v>
      </c>
      <c r="C11" s="9" t="s">
        <v>178</v>
      </c>
      <c r="D11" s="9" t="s">
        <v>179</v>
      </c>
      <c r="E11" s="9" t="s">
        <v>180</v>
      </c>
      <c r="F11" s="9" t="s">
        <v>181</v>
      </c>
      <c r="G11" s="17" t="s">
        <v>83</v>
      </c>
      <c r="H11" s="9" t="s">
        <v>182</v>
      </c>
    </row>
    <row r="12" customFormat="false" ht="23.85" hidden="false" customHeight="false" outlineLevel="0" collapsed="false">
      <c r="A12" s="9" t="s">
        <v>183</v>
      </c>
      <c r="B12" s="9" t="s">
        <v>184</v>
      </c>
      <c r="C12" s="9" t="s">
        <v>185</v>
      </c>
      <c r="D12" s="9" t="s">
        <v>186</v>
      </c>
      <c r="E12" s="9" t="s">
        <v>187</v>
      </c>
      <c r="F12" s="9" t="s">
        <v>188</v>
      </c>
      <c r="G12" s="17" t="s">
        <v>83</v>
      </c>
      <c r="H12" s="9" t="s">
        <v>189</v>
      </c>
    </row>
    <row r="13" customFormat="false" ht="23.85" hidden="false" customHeight="false" outlineLevel="0" collapsed="false">
      <c r="A13" s="9" t="s">
        <v>190</v>
      </c>
      <c r="B13" s="9" t="s">
        <v>191</v>
      </c>
      <c r="C13" s="9" t="s">
        <v>192</v>
      </c>
      <c r="D13" s="9" t="s">
        <v>193</v>
      </c>
      <c r="E13" s="9" t="s">
        <v>194</v>
      </c>
      <c r="F13" s="9" t="s">
        <v>195</v>
      </c>
      <c r="G13" s="17" t="s">
        <v>83</v>
      </c>
      <c r="H13" s="9" t="s">
        <v>196</v>
      </c>
    </row>
    <row r="14" customFormat="false" ht="15" hidden="false" customHeight="false" outlineLevel="0" collapsed="false">
      <c r="A14" s="9" t="s">
        <v>197</v>
      </c>
      <c r="B14" s="9" t="s">
        <v>198</v>
      </c>
      <c r="C14" s="9" t="s">
        <v>199</v>
      </c>
      <c r="D14" s="9" t="s">
        <v>200</v>
      </c>
      <c r="E14" s="9" t="s">
        <v>201</v>
      </c>
      <c r="F14" s="9" t="s">
        <v>202</v>
      </c>
      <c r="G14" s="17" t="s">
        <v>83</v>
      </c>
      <c r="H14" s="9" t="s">
        <v>203</v>
      </c>
    </row>
    <row r="15" customFormat="false" ht="15" hidden="false" customHeight="false" outlineLevel="0" collapsed="false">
      <c r="A15" s="9" t="s">
        <v>204</v>
      </c>
      <c r="B15" s="9" t="s">
        <v>205</v>
      </c>
      <c r="C15" s="9" t="s">
        <v>206</v>
      </c>
      <c r="D15" s="9" t="s">
        <v>207</v>
      </c>
      <c r="E15" s="9" t="s">
        <v>208</v>
      </c>
      <c r="F15" s="9" t="s">
        <v>209</v>
      </c>
      <c r="G15" s="17" t="s">
        <v>83</v>
      </c>
      <c r="H15" s="9" t="s">
        <v>210</v>
      </c>
    </row>
    <row r="16" customFormat="false" ht="23.85" hidden="false" customHeight="false" outlineLevel="0" collapsed="false">
      <c r="A16" s="9" t="s">
        <v>211</v>
      </c>
      <c r="B16" s="9" t="s">
        <v>212</v>
      </c>
      <c r="C16" s="9" t="s">
        <v>213</v>
      </c>
      <c r="D16" s="9" t="s">
        <v>214</v>
      </c>
      <c r="E16" s="9" t="s">
        <v>215</v>
      </c>
      <c r="F16" s="9" t="s">
        <v>216</v>
      </c>
      <c r="G16" s="17" t="s">
        <v>83</v>
      </c>
      <c r="H16" s="9" t="s">
        <v>217</v>
      </c>
    </row>
    <row r="17" customFormat="false" ht="23.85" hidden="false" customHeight="false" outlineLevel="0" collapsed="false">
      <c r="A17" s="9" t="s">
        <v>218</v>
      </c>
      <c r="B17" s="9" t="s">
        <v>219</v>
      </c>
      <c r="C17" s="9" t="s">
        <v>220</v>
      </c>
      <c r="D17" s="9" t="s">
        <v>221</v>
      </c>
      <c r="E17" s="9" t="s">
        <v>222</v>
      </c>
      <c r="F17" s="9" t="s">
        <v>223</v>
      </c>
      <c r="G17" s="17" t="s">
        <v>83</v>
      </c>
      <c r="H17" s="9" t="s">
        <v>224</v>
      </c>
    </row>
    <row r="18" customFormat="false" ht="35.05" hidden="false" customHeight="false" outlineLevel="0" collapsed="false">
      <c r="A18" s="9" t="s">
        <v>225</v>
      </c>
      <c r="B18" s="9" t="s">
        <v>226</v>
      </c>
      <c r="C18" s="9" t="s">
        <v>227</v>
      </c>
      <c r="D18" s="9" t="s">
        <v>228</v>
      </c>
      <c r="E18" s="9" t="s">
        <v>229</v>
      </c>
      <c r="F18" s="9" t="s">
        <v>230</v>
      </c>
      <c r="G18" s="17" t="s">
        <v>83</v>
      </c>
      <c r="H18" s="9" t="s">
        <v>231</v>
      </c>
    </row>
    <row r="19" customFormat="false" ht="23.85" hidden="false" customHeight="false" outlineLevel="0" collapsed="false">
      <c r="A19" s="9" t="s">
        <v>232</v>
      </c>
      <c r="B19" s="9" t="s">
        <v>233</v>
      </c>
      <c r="C19" s="9" t="s">
        <v>234</v>
      </c>
      <c r="D19" s="9" t="s">
        <v>235</v>
      </c>
      <c r="E19" s="9" t="s">
        <v>236</v>
      </c>
      <c r="F19" s="9" t="s">
        <v>237</v>
      </c>
      <c r="G19" s="20" t="s">
        <v>238</v>
      </c>
      <c r="H19" s="9" t="s">
        <v>239</v>
      </c>
    </row>
    <row r="20" customFormat="false" ht="35.05" hidden="false" customHeight="false" outlineLevel="0" collapsed="false">
      <c r="A20" s="9" t="s">
        <v>240</v>
      </c>
      <c r="B20" s="9" t="s">
        <v>241</v>
      </c>
      <c r="C20" s="9" t="s">
        <v>242</v>
      </c>
      <c r="D20" s="9" t="s">
        <v>243</v>
      </c>
      <c r="E20" s="9" t="s">
        <v>244</v>
      </c>
      <c r="F20" s="9" t="s">
        <v>245</v>
      </c>
      <c r="G20" s="20" t="s">
        <v>246</v>
      </c>
      <c r="H20" s="9"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46"/>
    <col collapsed="false" customWidth="true" hidden="false" outlineLevel="0" max="4" min="4" style="0" width="14"/>
    <col collapsed="false" customWidth="true" hidden="false" outlineLevel="0" max="5" min="5" style="0" width="52"/>
  </cols>
  <sheetData>
    <row r="1" customFormat="false" ht="25.5" hidden="false" customHeight="true" outlineLevel="0" collapsed="false">
      <c r="A1" s="1" t="s">
        <v>248</v>
      </c>
    </row>
    <row r="2" customFormat="false" ht="15" hidden="false" customHeight="false" outlineLevel="0" collapsed="false">
      <c r="A2" s="2" t="s">
        <v>249</v>
      </c>
    </row>
    <row r="3" customFormat="false" ht="15" hidden="false" customHeight="false" outlineLevel="0" collapsed="false">
      <c r="A3" s="3"/>
      <c r="B3" s="3"/>
      <c r="C3" s="3"/>
      <c r="D3" s="3"/>
      <c r="E3" s="3"/>
      <c r="F3" s="3"/>
    </row>
    <row r="5" customFormat="false" ht="15" hidden="false" customHeight="false" outlineLevel="0" collapsed="false">
      <c r="A5" s="4" t="s">
        <v>250</v>
      </c>
      <c r="B5" s="5"/>
      <c r="C5" s="5"/>
      <c r="D5" s="5"/>
      <c r="E5" s="5"/>
      <c r="F5" s="5"/>
    </row>
    <row r="6" customFormat="false" ht="48" hidden="false" customHeight="true" outlineLevel="0" collapsed="false">
      <c r="A6" s="21" t="s">
        <v>251</v>
      </c>
      <c r="B6" s="21"/>
      <c r="C6" s="21"/>
      <c r="D6" s="21"/>
      <c r="E6" s="21"/>
      <c r="F6" s="21"/>
    </row>
    <row r="8" customFormat="false" ht="15" hidden="false" customHeight="false" outlineLevel="0" collapsed="false">
      <c r="A8" s="4" t="s">
        <v>252</v>
      </c>
      <c r="B8" s="5"/>
      <c r="C8" s="5"/>
      <c r="D8" s="5"/>
      <c r="E8" s="5"/>
      <c r="F8" s="5"/>
    </row>
    <row r="9" customFormat="false" ht="30" hidden="false" customHeight="true" outlineLevel="0" collapsed="false">
      <c r="A9" s="8" t="s">
        <v>253</v>
      </c>
      <c r="B9" s="8" t="s">
        <v>254</v>
      </c>
      <c r="C9" s="8" t="s">
        <v>255</v>
      </c>
      <c r="D9" s="8" t="s">
        <v>139</v>
      </c>
      <c r="E9" s="8" t="s">
        <v>52</v>
      </c>
    </row>
    <row r="10" customFormat="false" ht="15" hidden="false" customHeight="false" outlineLevel="0" collapsed="false">
      <c r="A10" s="9" t="s">
        <v>256</v>
      </c>
      <c r="B10" s="9" t="s">
        <v>257</v>
      </c>
      <c r="C10" s="9" t="s">
        <v>258</v>
      </c>
      <c r="D10" s="9" t="s">
        <v>66</v>
      </c>
      <c r="E10" s="9" t="s">
        <v>259</v>
      </c>
    </row>
    <row r="11" customFormat="false" ht="15" hidden="false" customHeight="false" outlineLevel="0" collapsed="false">
      <c r="A11" s="9" t="s">
        <v>260</v>
      </c>
      <c r="B11" s="9" t="s">
        <v>261</v>
      </c>
      <c r="C11" s="9" t="s">
        <v>262</v>
      </c>
      <c r="D11" s="9" t="s">
        <v>66</v>
      </c>
      <c r="E11" s="9" t="s">
        <v>263</v>
      </c>
    </row>
    <row r="12" customFormat="false" ht="15" hidden="false" customHeight="false" outlineLevel="0" collapsed="false">
      <c r="A12" s="9" t="s">
        <v>264</v>
      </c>
      <c r="B12" s="9" t="s">
        <v>265</v>
      </c>
      <c r="C12" s="9" t="s">
        <v>266</v>
      </c>
      <c r="D12" s="9" t="s">
        <v>66</v>
      </c>
      <c r="E12" s="9"/>
    </row>
    <row r="13" customFormat="false" ht="15" hidden="false" customHeight="false" outlineLevel="0" collapsed="false">
      <c r="A13" s="9" t="s">
        <v>142</v>
      </c>
      <c r="B13" s="9" t="s">
        <v>267</v>
      </c>
      <c r="C13" s="9" t="s">
        <v>268</v>
      </c>
      <c r="D13" s="9" t="s">
        <v>82</v>
      </c>
      <c r="E13" s="9" t="s">
        <v>269</v>
      </c>
    </row>
    <row r="14" customFormat="false" ht="15" hidden="false" customHeight="false" outlineLevel="0" collapsed="false">
      <c r="A14" s="9" t="s">
        <v>270</v>
      </c>
      <c r="B14" s="9" t="s">
        <v>271</v>
      </c>
      <c r="C14" s="9" t="s">
        <v>272</v>
      </c>
      <c r="D14" s="9" t="s">
        <v>83</v>
      </c>
      <c r="E14" s="9"/>
    </row>
    <row r="15" customFormat="false" ht="15" hidden="false" customHeight="false" outlineLevel="0" collapsed="false">
      <c r="A15" s="9" t="s">
        <v>273</v>
      </c>
      <c r="B15" s="9" t="s">
        <v>274</v>
      </c>
      <c r="C15" s="9" t="s">
        <v>275</v>
      </c>
      <c r="D15" s="9" t="s">
        <v>83</v>
      </c>
      <c r="E15" s="9" t="s">
        <v>276</v>
      </c>
    </row>
    <row r="16" customFormat="false" ht="23.85" hidden="false" customHeight="false" outlineLevel="0" collapsed="false">
      <c r="A16" s="9" t="s">
        <v>277</v>
      </c>
      <c r="B16" s="9" t="s">
        <v>278</v>
      </c>
      <c r="C16" s="9" t="s">
        <v>279</v>
      </c>
      <c r="D16" s="9" t="s">
        <v>82</v>
      </c>
      <c r="E16" s="9" t="s">
        <v>280</v>
      </c>
    </row>
    <row r="17" customFormat="false" ht="15" hidden="false" customHeight="false" outlineLevel="0" collapsed="false">
      <c r="A17" s="9" t="s">
        <v>281</v>
      </c>
      <c r="B17" s="9" t="s">
        <v>282</v>
      </c>
      <c r="C17" s="9" t="s">
        <v>283</v>
      </c>
      <c r="D17" s="9" t="s">
        <v>83</v>
      </c>
      <c r="E17" s="9" t="s">
        <v>284</v>
      </c>
    </row>
    <row r="18" customFormat="false" ht="15" hidden="false" customHeight="false" outlineLevel="0" collapsed="false">
      <c r="A18" s="9" t="s">
        <v>285</v>
      </c>
      <c r="B18" s="9" t="s">
        <v>286</v>
      </c>
      <c r="C18" s="9" t="s">
        <v>287</v>
      </c>
      <c r="D18" s="9" t="s">
        <v>66</v>
      </c>
      <c r="E18" s="9" t="s">
        <v>288</v>
      </c>
    </row>
    <row r="19" customFormat="false" ht="15" hidden="false" customHeight="false" outlineLevel="0" collapsed="false">
      <c r="A19" s="9" t="s">
        <v>289</v>
      </c>
      <c r="B19" s="9" t="s">
        <v>290</v>
      </c>
      <c r="C19" s="9" t="s">
        <v>291</v>
      </c>
      <c r="D19" s="9" t="s">
        <v>292</v>
      </c>
      <c r="E19" s="9" t="s">
        <v>293</v>
      </c>
    </row>
    <row r="20" customFormat="false" ht="15" hidden="false" customHeight="false" outlineLevel="0" collapsed="false">
      <c r="A20" s="9" t="s">
        <v>294</v>
      </c>
      <c r="B20" s="9" t="s">
        <v>295</v>
      </c>
      <c r="C20" s="9" t="s">
        <v>296</v>
      </c>
      <c r="D20" s="9" t="s">
        <v>84</v>
      </c>
      <c r="E20" s="9" t="s">
        <v>297</v>
      </c>
    </row>
    <row r="21" customFormat="false" ht="15" hidden="false" customHeight="false" outlineLevel="0" collapsed="false">
      <c r="A21" s="9" t="s">
        <v>298</v>
      </c>
      <c r="B21" s="9" t="s">
        <v>299</v>
      </c>
      <c r="C21" s="9" t="s">
        <v>300</v>
      </c>
      <c r="D21" s="9" t="s">
        <v>292</v>
      </c>
      <c r="E21" s="9"/>
    </row>
    <row r="22" customFormat="false" ht="15" hidden="false" customHeight="false" outlineLevel="0" collapsed="false">
      <c r="A22" s="9" t="s">
        <v>301</v>
      </c>
      <c r="B22" s="9" t="s">
        <v>302</v>
      </c>
      <c r="C22" s="9" t="s">
        <v>303</v>
      </c>
      <c r="D22" s="9" t="s">
        <v>292</v>
      </c>
      <c r="E22" s="9" t="s">
        <v>304</v>
      </c>
    </row>
    <row r="23" customFormat="false" ht="15" hidden="false" customHeight="false" outlineLevel="0" collapsed="false">
      <c r="A23" s="9" t="s">
        <v>305</v>
      </c>
      <c r="B23" s="9" t="s">
        <v>306</v>
      </c>
      <c r="C23" s="9" t="s">
        <v>307</v>
      </c>
      <c r="D23" s="9" t="s">
        <v>85</v>
      </c>
      <c r="E23" s="9"/>
    </row>
    <row r="24" customFormat="false" ht="15" hidden="false" customHeight="false" outlineLevel="0" collapsed="false">
      <c r="A24" s="9" t="s">
        <v>308</v>
      </c>
      <c r="B24" s="9" t="s">
        <v>309</v>
      </c>
      <c r="C24" s="9" t="s">
        <v>310</v>
      </c>
      <c r="D24" s="9" t="s">
        <v>292</v>
      </c>
      <c r="E24" s="9"/>
    </row>
    <row r="25" customFormat="false" ht="15" hidden="false" customHeight="false" outlineLevel="0" collapsed="false">
      <c r="A25" s="9" t="s">
        <v>311</v>
      </c>
      <c r="B25" s="9" t="s">
        <v>312</v>
      </c>
      <c r="C25" s="9" t="s">
        <v>313</v>
      </c>
      <c r="D25" s="9" t="s">
        <v>292</v>
      </c>
      <c r="E25" s="9"/>
    </row>
    <row r="26" customFormat="false" ht="15" hidden="false" customHeight="false" outlineLevel="0" collapsed="false">
      <c r="A26" s="9" t="s">
        <v>314</v>
      </c>
      <c r="B26" s="9" t="s">
        <v>315</v>
      </c>
      <c r="C26" s="9" t="s">
        <v>316</v>
      </c>
      <c r="D26" s="9" t="s">
        <v>82</v>
      </c>
      <c r="E26" s="9" t="s">
        <v>317</v>
      </c>
    </row>
    <row r="27" customFormat="false" ht="15" hidden="false" customHeight="false" outlineLevel="0" collapsed="false">
      <c r="A27" s="9" t="s">
        <v>318</v>
      </c>
      <c r="B27" s="9" t="s">
        <v>319</v>
      </c>
      <c r="C27" s="9" t="s">
        <v>320</v>
      </c>
      <c r="D27" s="9" t="s">
        <v>321</v>
      </c>
      <c r="E27" s="9"/>
    </row>
    <row r="28" customFormat="false" ht="23.85" hidden="false" customHeight="false" outlineLevel="0" collapsed="false">
      <c r="A28" s="9" t="s">
        <v>322</v>
      </c>
      <c r="B28" s="9" t="s">
        <v>323</v>
      </c>
      <c r="C28" s="9" t="s">
        <v>324</v>
      </c>
      <c r="D28" s="9" t="s">
        <v>321</v>
      </c>
      <c r="E28" s="9" t="s">
        <v>325</v>
      </c>
    </row>
    <row r="30" customFormat="false" ht="15" hidden="false" customHeight="false" outlineLevel="0" collapsed="false">
      <c r="A30" s="4" t="s">
        <v>326</v>
      </c>
      <c r="B30" s="5"/>
      <c r="C30" s="5"/>
      <c r="D30" s="5"/>
      <c r="E30" s="5"/>
      <c r="F30" s="5"/>
    </row>
    <row r="31" customFormat="false" ht="30" hidden="false" customHeight="true" outlineLevel="0" collapsed="false">
      <c r="A31" s="8" t="s">
        <v>327</v>
      </c>
      <c r="B31" s="8" t="s">
        <v>328</v>
      </c>
      <c r="C31" s="8" t="s">
        <v>139</v>
      </c>
      <c r="D31" s="8" t="s">
        <v>52</v>
      </c>
    </row>
    <row r="32" customFormat="false" ht="23.85" hidden="false" customHeight="false" outlineLevel="0" collapsed="false">
      <c r="A32" s="9" t="s">
        <v>329</v>
      </c>
      <c r="B32" s="9" t="s">
        <v>330</v>
      </c>
      <c r="C32" s="9" t="s">
        <v>55</v>
      </c>
      <c r="D32" s="9"/>
    </row>
    <row r="33" customFormat="false" ht="23.85" hidden="false" customHeight="false" outlineLevel="0" collapsed="false">
      <c r="A33" s="9" t="s">
        <v>331</v>
      </c>
      <c r="B33" s="9" t="s">
        <v>332</v>
      </c>
      <c r="C33" s="9" t="s">
        <v>82</v>
      </c>
      <c r="D33" s="9"/>
    </row>
    <row r="34" customFormat="false" ht="15" hidden="false" customHeight="false" outlineLevel="0" collapsed="false">
      <c r="A34" s="9" t="s">
        <v>333</v>
      </c>
      <c r="B34" s="9" t="s">
        <v>334</v>
      </c>
      <c r="C34" s="9" t="s">
        <v>66</v>
      </c>
      <c r="D34" s="9"/>
    </row>
    <row r="35" customFormat="false" ht="23.85" hidden="false" customHeight="false" outlineLevel="0" collapsed="false">
      <c r="A35" s="9" t="s">
        <v>335</v>
      </c>
      <c r="B35" s="9" t="s">
        <v>336</v>
      </c>
      <c r="C35" s="9" t="s">
        <v>83</v>
      </c>
      <c r="D35" s="9" t="s">
        <v>337</v>
      </c>
    </row>
    <row r="36" customFormat="false" ht="23.85" hidden="false" customHeight="false" outlineLevel="0" collapsed="false">
      <c r="A36" s="9" t="s">
        <v>338</v>
      </c>
      <c r="B36" s="9" t="s">
        <v>339</v>
      </c>
      <c r="C36" s="9" t="s">
        <v>83</v>
      </c>
      <c r="D36" s="9" t="s">
        <v>340</v>
      </c>
    </row>
    <row r="37" customFormat="false" ht="23.85" hidden="false" customHeight="false" outlineLevel="0" collapsed="false">
      <c r="A37" s="9" t="s">
        <v>341</v>
      </c>
      <c r="B37" s="9" t="s">
        <v>342</v>
      </c>
      <c r="C37" s="9" t="s">
        <v>66</v>
      </c>
      <c r="D37" s="9"/>
    </row>
    <row r="38" customFormat="false" ht="23.85" hidden="false" customHeight="false" outlineLevel="0" collapsed="false">
      <c r="A38" s="9" t="s">
        <v>343</v>
      </c>
      <c r="B38" s="9" t="s">
        <v>344</v>
      </c>
      <c r="C38" s="9" t="s">
        <v>82</v>
      </c>
      <c r="D38" s="9"/>
    </row>
    <row r="39" customFormat="false" ht="15" hidden="false" customHeight="false" outlineLevel="0" collapsed="false">
      <c r="A39" s="9" t="s">
        <v>345</v>
      </c>
      <c r="B39" s="9" t="s">
        <v>346</v>
      </c>
      <c r="C39" s="9" t="s">
        <v>292</v>
      </c>
      <c r="D39" s="9"/>
    </row>
    <row r="40" customFormat="false" ht="23.85" hidden="false" customHeight="false" outlineLevel="0" collapsed="false">
      <c r="A40" s="9" t="s">
        <v>347</v>
      </c>
      <c r="B40" s="9" t="s">
        <v>348</v>
      </c>
      <c r="C40" s="9" t="s">
        <v>292</v>
      </c>
      <c r="D40" s="9"/>
    </row>
    <row r="41" customFormat="false" ht="15" hidden="false" customHeight="false" outlineLevel="0" collapsed="false">
      <c r="A41" s="9" t="s">
        <v>349</v>
      </c>
      <c r="B41" s="9" t="s">
        <v>350</v>
      </c>
      <c r="C41" s="9" t="s">
        <v>66</v>
      </c>
      <c r="D41" s="9"/>
    </row>
    <row r="43" customFormat="false" ht="15" hidden="false" customHeight="false" outlineLevel="0" collapsed="false">
      <c r="A43" s="4" t="s">
        <v>351</v>
      </c>
      <c r="B43" s="5"/>
      <c r="C43" s="5"/>
      <c r="D43" s="5"/>
      <c r="E43" s="5"/>
      <c r="F43" s="5"/>
    </row>
    <row r="44" customFormat="false" ht="300" hidden="false" customHeight="true" outlineLevel="0" collapsed="false">
      <c r="A44" s="22" t="s">
        <v>352</v>
      </c>
      <c r="B44" s="22"/>
      <c r="C44" s="22"/>
      <c r="D44" s="22"/>
      <c r="E44" s="22"/>
    </row>
    <row r="46" customFormat="false" ht="15" hidden="false" customHeight="false" outlineLevel="0" collapsed="false">
      <c r="A46" s="4" t="s">
        <v>353</v>
      </c>
      <c r="B46" s="5"/>
      <c r="C46" s="5"/>
      <c r="D46" s="5"/>
      <c r="E46" s="5"/>
      <c r="F46" s="5"/>
    </row>
    <row r="47" customFormat="false" ht="30" hidden="false" customHeight="true" outlineLevel="0" collapsed="false">
      <c r="A47" s="8" t="s">
        <v>354</v>
      </c>
      <c r="B47" s="8" t="s">
        <v>355</v>
      </c>
      <c r="C47" s="8" t="s">
        <v>139</v>
      </c>
      <c r="D47" s="8" t="s">
        <v>52</v>
      </c>
    </row>
    <row r="48" customFormat="false" ht="23.85" hidden="false" customHeight="false" outlineLevel="0" collapsed="false">
      <c r="A48" s="9" t="s">
        <v>356</v>
      </c>
      <c r="B48" s="9" t="s">
        <v>357</v>
      </c>
      <c r="C48" s="9" t="s">
        <v>82</v>
      </c>
      <c r="D48" s="9" t="s">
        <v>358</v>
      </c>
    </row>
    <row r="49" customFormat="false" ht="15" hidden="false" customHeight="false" outlineLevel="0" collapsed="false">
      <c r="A49" s="9" t="s">
        <v>359</v>
      </c>
      <c r="B49" s="9" t="s">
        <v>360</v>
      </c>
      <c r="C49" s="9" t="s">
        <v>82</v>
      </c>
      <c r="D49" s="9"/>
    </row>
    <row r="50" customFormat="false" ht="15" hidden="false" customHeight="false" outlineLevel="0" collapsed="false">
      <c r="A50" s="9" t="s">
        <v>361</v>
      </c>
      <c r="B50" s="9" t="s">
        <v>362</v>
      </c>
      <c r="C50" s="9" t="s">
        <v>83</v>
      </c>
      <c r="D50" s="9" t="s">
        <v>363</v>
      </c>
    </row>
    <row r="51" customFormat="false" ht="23.85" hidden="false" customHeight="false" outlineLevel="0" collapsed="false">
      <c r="A51" s="9" t="s">
        <v>364</v>
      </c>
      <c r="B51" s="9" t="s">
        <v>365</v>
      </c>
      <c r="C51" s="9" t="s">
        <v>82</v>
      </c>
      <c r="D51" s="9" t="s">
        <v>366</v>
      </c>
    </row>
    <row r="52" customFormat="false" ht="15" hidden="false" customHeight="false" outlineLevel="0" collapsed="false">
      <c r="A52" s="9" t="s">
        <v>367</v>
      </c>
      <c r="B52" s="9" t="s">
        <v>368</v>
      </c>
      <c r="C52" s="9" t="s">
        <v>84</v>
      </c>
      <c r="D52" s="9" t="s">
        <v>369</v>
      </c>
    </row>
    <row r="53" customFormat="false" ht="15" hidden="false" customHeight="false" outlineLevel="0" collapsed="false">
      <c r="A53" s="9" t="s">
        <v>370</v>
      </c>
      <c r="B53" s="9" t="s">
        <v>371</v>
      </c>
      <c r="C53" s="9" t="s">
        <v>84</v>
      </c>
      <c r="D53" s="9" t="s">
        <v>372</v>
      </c>
    </row>
    <row r="54" customFormat="false" ht="15" hidden="false" customHeight="false" outlineLevel="0" collapsed="false">
      <c r="A54" s="9" t="s">
        <v>373</v>
      </c>
      <c r="B54" s="9" t="s">
        <v>374</v>
      </c>
      <c r="C54" s="9" t="s">
        <v>375</v>
      </c>
      <c r="D54" s="9"/>
    </row>
  </sheetData>
  <mergeCells count="2">
    <mergeCell ref="A6:F6"/>
    <mergeCell ref="A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22"/>
    <col collapsed="false" customWidth="true" hidden="false" outlineLevel="0" max="4" min="4" style="0" width="46"/>
    <col collapsed="false" customWidth="true" hidden="false" outlineLevel="0" max="5" min="5" style="0" width="26"/>
    <col collapsed="false" customWidth="true" hidden="false" outlineLevel="0" max="6" min="6" style="0" width="14"/>
    <col collapsed="false" customWidth="true" hidden="false" outlineLevel="0" max="7" min="7" style="0" width="10"/>
    <col collapsed="false" customWidth="true" hidden="false" outlineLevel="0" max="8" min="8" style="0" width="44"/>
  </cols>
  <sheetData>
    <row r="1" customFormat="false" ht="25.5" hidden="false" customHeight="true" outlineLevel="0" collapsed="false">
      <c r="A1" s="1" t="s">
        <v>376</v>
      </c>
    </row>
    <row r="2" customFormat="false" ht="15" hidden="false" customHeight="false" outlineLevel="0" collapsed="false">
      <c r="A2" s="2" t="s">
        <v>377</v>
      </c>
    </row>
    <row r="3" customFormat="false" ht="15" hidden="false" customHeight="false" outlineLevel="0" collapsed="false">
      <c r="A3" s="3"/>
      <c r="B3" s="3"/>
      <c r="C3" s="3"/>
      <c r="D3" s="3"/>
      <c r="E3" s="3"/>
      <c r="F3" s="3"/>
      <c r="G3" s="3"/>
      <c r="H3" s="3"/>
    </row>
    <row r="5" customFormat="false" ht="30" hidden="false" customHeight="true" outlineLevel="0" collapsed="false">
      <c r="A5" s="8" t="s">
        <v>378</v>
      </c>
      <c r="B5" s="8" t="s">
        <v>379</v>
      </c>
      <c r="C5" s="8" t="s">
        <v>380</v>
      </c>
      <c r="D5" s="8" t="s">
        <v>381</v>
      </c>
      <c r="E5" s="8" t="s">
        <v>382</v>
      </c>
      <c r="F5" s="8" t="s">
        <v>383</v>
      </c>
      <c r="G5" s="8" t="s">
        <v>139</v>
      </c>
      <c r="H5" s="8" t="s">
        <v>52</v>
      </c>
    </row>
    <row r="6" customFormat="false" ht="15" hidden="false" customHeight="false" outlineLevel="0" collapsed="false">
      <c r="A6" s="9" t="s">
        <v>384</v>
      </c>
      <c r="B6" s="9" t="s">
        <v>385</v>
      </c>
      <c r="C6" s="9" t="s">
        <v>386</v>
      </c>
      <c r="D6" s="9" t="s">
        <v>387</v>
      </c>
      <c r="E6" s="9" t="s">
        <v>388</v>
      </c>
      <c r="F6" s="9" t="s">
        <v>389</v>
      </c>
      <c r="G6" s="16" t="s">
        <v>82</v>
      </c>
      <c r="H6" s="9" t="s">
        <v>390</v>
      </c>
    </row>
    <row r="7" customFormat="false" ht="15" hidden="false" customHeight="false" outlineLevel="0" collapsed="false">
      <c r="A7" s="9" t="s">
        <v>384</v>
      </c>
      <c r="B7" s="9" t="s">
        <v>391</v>
      </c>
      <c r="C7" s="9" t="s">
        <v>392</v>
      </c>
      <c r="D7" s="9" t="s">
        <v>393</v>
      </c>
      <c r="E7" s="9" t="s">
        <v>388</v>
      </c>
      <c r="F7" s="9" t="s">
        <v>389</v>
      </c>
      <c r="G7" s="16" t="s">
        <v>82</v>
      </c>
      <c r="H7" s="9"/>
    </row>
    <row r="8" customFormat="false" ht="15" hidden="false" customHeight="false" outlineLevel="0" collapsed="false">
      <c r="A8" s="9" t="s">
        <v>384</v>
      </c>
      <c r="B8" s="9" t="s">
        <v>394</v>
      </c>
      <c r="C8" s="9" t="s">
        <v>395</v>
      </c>
      <c r="D8" s="9" t="s">
        <v>396</v>
      </c>
      <c r="E8" s="9" t="s">
        <v>388</v>
      </c>
      <c r="F8" s="9" t="s">
        <v>389</v>
      </c>
      <c r="G8" s="16" t="s">
        <v>82</v>
      </c>
      <c r="H8" s="9" t="s">
        <v>397</v>
      </c>
    </row>
    <row r="9" customFormat="false" ht="15" hidden="false" customHeight="false" outlineLevel="0" collapsed="false">
      <c r="A9" s="9" t="s">
        <v>384</v>
      </c>
      <c r="B9" s="9" t="s">
        <v>398</v>
      </c>
      <c r="C9" s="9" t="s">
        <v>399</v>
      </c>
      <c r="D9" s="9" t="s">
        <v>400</v>
      </c>
      <c r="E9" s="9" t="s">
        <v>388</v>
      </c>
      <c r="F9" s="9" t="s">
        <v>389</v>
      </c>
      <c r="G9" s="16" t="s">
        <v>82</v>
      </c>
      <c r="H9" s="9"/>
    </row>
    <row r="10" customFormat="false" ht="15" hidden="false" customHeight="false" outlineLevel="0" collapsed="false">
      <c r="A10" s="9" t="s">
        <v>401</v>
      </c>
      <c r="B10" s="9" t="s">
        <v>402</v>
      </c>
      <c r="C10" s="9" t="s">
        <v>403</v>
      </c>
      <c r="D10" s="9" t="s">
        <v>404</v>
      </c>
      <c r="E10" s="9" t="s">
        <v>405</v>
      </c>
      <c r="F10" s="9" t="s">
        <v>406</v>
      </c>
      <c r="G10" s="16" t="s">
        <v>82</v>
      </c>
      <c r="H10" s="9" t="s">
        <v>407</v>
      </c>
    </row>
    <row r="11" customFormat="false" ht="15" hidden="false" customHeight="false" outlineLevel="0" collapsed="false">
      <c r="A11" s="9" t="s">
        <v>408</v>
      </c>
      <c r="B11" s="9" t="s">
        <v>409</v>
      </c>
      <c r="C11" s="9" t="s">
        <v>410</v>
      </c>
      <c r="D11" s="9" t="s">
        <v>411</v>
      </c>
      <c r="E11" s="9" t="s">
        <v>412</v>
      </c>
      <c r="F11" s="9" t="s">
        <v>413</v>
      </c>
      <c r="G11" s="16" t="s">
        <v>82</v>
      </c>
      <c r="H11" s="9" t="s">
        <v>414</v>
      </c>
    </row>
    <row r="12" customFormat="false" ht="15" hidden="false" customHeight="false" outlineLevel="0" collapsed="false">
      <c r="A12" s="9" t="s">
        <v>408</v>
      </c>
      <c r="B12" s="9" t="s">
        <v>415</v>
      </c>
      <c r="C12" s="9" t="s">
        <v>416</v>
      </c>
      <c r="D12" s="9" t="s">
        <v>417</v>
      </c>
      <c r="E12" s="9" t="s">
        <v>412</v>
      </c>
      <c r="F12" s="9" t="s">
        <v>413</v>
      </c>
      <c r="G12" s="16" t="s">
        <v>82</v>
      </c>
      <c r="H12" s="9"/>
    </row>
    <row r="13" customFormat="false" ht="15" hidden="false" customHeight="false" outlineLevel="0" collapsed="false">
      <c r="A13" s="9" t="s">
        <v>408</v>
      </c>
      <c r="B13" s="9" t="s">
        <v>418</v>
      </c>
      <c r="C13" s="9" t="s">
        <v>416</v>
      </c>
      <c r="D13" s="9" t="s">
        <v>419</v>
      </c>
      <c r="E13" s="9" t="s">
        <v>420</v>
      </c>
      <c r="F13" s="9" t="s">
        <v>413</v>
      </c>
      <c r="G13" s="16" t="s">
        <v>82</v>
      </c>
      <c r="H13" s="9" t="s">
        <v>421</v>
      </c>
    </row>
    <row r="14" customFormat="false" ht="15" hidden="false" customHeight="false" outlineLevel="0" collapsed="false">
      <c r="A14" s="9" t="s">
        <v>408</v>
      </c>
      <c r="B14" s="9" t="s">
        <v>422</v>
      </c>
      <c r="C14" s="9" t="s">
        <v>423</v>
      </c>
      <c r="D14" s="9" t="s">
        <v>424</v>
      </c>
      <c r="E14" s="9" t="s">
        <v>412</v>
      </c>
      <c r="F14" s="9" t="s">
        <v>413</v>
      </c>
      <c r="G14" s="16" t="s">
        <v>82</v>
      </c>
      <c r="H14" s="9" t="s">
        <v>425</v>
      </c>
    </row>
    <row r="15" customFormat="false" ht="15" hidden="false" customHeight="false" outlineLevel="0" collapsed="false">
      <c r="A15" s="9" t="s">
        <v>408</v>
      </c>
      <c r="B15" s="9" t="s">
        <v>426</v>
      </c>
      <c r="C15" s="9" t="s">
        <v>427</v>
      </c>
      <c r="D15" s="9" t="s">
        <v>428</v>
      </c>
      <c r="E15" s="9" t="s">
        <v>429</v>
      </c>
      <c r="F15" s="9" t="s">
        <v>430</v>
      </c>
      <c r="G15" s="16" t="s">
        <v>82</v>
      </c>
      <c r="H15" s="9" t="s">
        <v>431</v>
      </c>
    </row>
    <row r="16" customFormat="false" ht="15" hidden="false" customHeight="false" outlineLevel="0" collapsed="false">
      <c r="A16" s="9" t="s">
        <v>408</v>
      </c>
      <c r="B16" s="9" t="s">
        <v>432</v>
      </c>
      <c r="C16" s="9" t="s">
        <v>416</v>
      </c>
      <c r="D16" s="9" t="s">
        <v>433</v>
      </c>
      <c r="E16" s="9" t="s">
        <v>420</v>
      </c>
      <c r="F16" s="9" t="s">
        <v>413</v>
      </c>
      <c r="G16" s="16" t="s">
        <v>82</v>
      </c>
      <c r="H16" s="9" t="s">
        <v>434</v>
      </c>
    </row>
    <row r="17" customFormat="false" ht="15" hidden="false" customHeight="false" outlineLevel="0" collapsed="false">
      <c r="A17" s="9" t="s">
        <v>408</v>
      </c>
      <c r="B17" s="9" t="s">
        <v>435</v>
      </c>
      <c r="C17" s="9" t="s">
        <v>436</v>
      </c>
      <c r="D17" s="9" t="s">
        <v>437</v>
      </c>
      <c r="E17" s="9" t="s">
        <v>420</v>
      </c>
      <c r="F17" s="9" t="s">
        <v>413</v>
      </c>
      <c r="G17" s="16" t="s">
        <v>82</v>
      </c>
      <c r="H17" s="9" t="s">
        <v>438</v>
      </c>
    </row>
    <row r="18" customFormat="false" ht="23.85" hidden="false" customHeight="false" outlineLevel="0" collapsed="false">
      <c r="A18" s="9" t="s">
        <v>439</v>
      </c>
      <c r="B18" s="9" t="s">
        <v>440</v>
      </c>
      <c r="C18" s="9" t="s">
        <v>441</v>
      </c>
      <c r="D18" s="9" t="s">
        <v>442</v>
      </c>
      <c r="E18" s="9" t="s">
        <v>412</v>
      </c>
      <c r="F18" s="9" t="s">
        <v>413</v>
      </c>
      <c r="G18" s="16" t="s">
        <v>82</v>
      </c>
      <c r="H18" s="9" t="s">
        <v>443</v>
      </c>
    </row>
    <row r="19" customFormat="false" ht="23.85" hidden="false" customHeight="false" outlineLevel="0" collapsed="false">
      <c r="A19" s="9" t="s">
        <v>444</v>
      </c>
      <c r="B19" s="9" t="s">
        <v>445</v>
      </c>
      <c r="C19" s="9" t="s">
        <v>446</v>
      </c>
      <c r="D19" s="9" t="s">
        <v>447</v>
      </c>
      <c r="E19" s="9" t="s">
        <v>448</v>
      </c>
      <c r="F19" s="9" t="s">
        <v>449</v>
      </c>
      <c r="G19" s="16" t="s">
        <v>82</v>
      </c>
      <c r="H19" s="9" t="s">
        <v>450</v>
      </c>
    </row>
    <row r="20" customFormat="false" ht="15" hidden="false" customHeight="false" outlineLevel="0" collapsed="false">
      <c r="A20" s="9" t="s">
        <v>451</v>
      </c>
      <c r="B20" s="9" t="s">
        <v>452</v>
      </c>
      <c r="C20" s="9" t="s">
        <v>453</v>
      </c>
      <c r="D20" s="9" t="s">
        <v>454</v>
      </c>
      <c r="E20" s="9" t="s">
        <v>455</v>
      </c>
      <c r="F20" s="9" t="s">
        <v>456</v>
      </c>
      <c r="G20" s="16" t="s">
        <v>82</v>
      </c>
      <c r="H20" s="9" t="s">
        <v>390</v>
      </c>
    </row>
    <row r="21" customFormat="false" ht="15" hidden="false" customHeight="false" outlineLevel="0" collapsed="false">
      <c r="A21" s="9" t="s">
        <v>451</v>
      </c>
      <c r="B21" s="9" t="s">
        <v>457</v>
      </c>
      <c r="C21" s="9" t="s">
        <v>399</v>
      </c>
      <c r="D21" s="9" t="s">
        <v>458</v>
      </c>
      <c r="E21" s="9" t="s">
        <v>455</v>
      </c>
      <c r="F21" s="9" t="s">
        <v>456</v>
      </c>
      <c r="G21" s="16" t="s">
        <v>82</v>
      </c>
      <c r="H21" s="9" t="s">
        <v>459</v>
      </c>
    </row>
    <row r="22" customFormat="false" ht="15" hidden="false" customHeight="false" outlineLevel="0" collapsed="false">
      <c r="A22" s="9" t="s">
        <v>451</v>
      </c>
      <c r="B22" s="9" t="s">
        <v>460</v>
      </c>
      <c r="C22" s="9" t="s">
        <v>416</v>
      </c>
      <c r="D22" s="9" t="s">
        <v>461</v>
      </c>
      <c r="E22" s="9" t="s">
        <v>455</v>
      </c>
      <c r="F22" s="9" t="s">
        <v>456</v>
      </c>
      <c r="G22" s="16" t="s">
        <v>82</v>
      </c>
      <c r="H22" s="9" t="s">
        <v>462</v>
      </c>
    </row>
    <row r="23" customFormat="false" ht="15" hidden="false" customHeight="false" outlineLevel="0" collapsed="false">
      <c r="A23" s="9" t="s">
        <v>451</v>
      </c>
      <c r="B23" s="9" t="s">
        <v>463</v>
      </c>
      <c r="C23" s="9" t="s">
        <v>416</v>
      </c>
      <c r="D23" s="9" t="s">
        <v>464</v>
      </c>
      <c r="E23" s="9" t="s">
        <v>455</v>
      </c>
      <c r="F23" s="9" t="s">
        <v>456</v>
      </c>
      <c r="G23" s="16" t="s">
        <v>82</v>
      </c>
      <c r="H23" s="9" t="s">
        <v>465</v>
      </c>
    </row>
    <row r="24" customFormat="false" ht="15" hidden="false" customHeight="false" outlineLevel="0" collapsed="false">
      <c r="A24" s="9" t="s">
        <v>451</v>
      </c>
      <c r="B24" s="9" t="s">
        <v>466</v>
      </c>
      <c r="C24" s="9" t="s">
        <v>467</v>
      </c>
      <c r="D24" s="9" t="s">
        <v>468</v>
      </c>
      <c r="E24" s="9" t="s">
        <v>469</v>
      </c>
      <c r="F24" s="9" t="s">
        <v>456</v>
      </c>
      <c r="G24" s="16" t="s">
        <v>82</v>
      </c>
      <c r="H24" s="9" t="s">
        <v>470</v>
      </c>
    </row>
    <row r="25" customFormat="false" ht="15" hidden="false" customHeight="false" outlineLevel="0" collapsed="false">
      <c r="A25" s="9" t="s">
        <v>471</v>
      </c>
      <c r="B25" s="9" t="s">
        <v>409</v>
      </c>
      <c r="C25" s="9" t="s">
        <v>410</v>
      </c>
      <c r="D25" s="9"/>
      <c r="E25" s="9" t="s">
        <v>412</v>
      </c>
      <c r="F25" s="9" t="s">
        <v>413</v>
      </c>
      <c r="G25" s="16" t="s">
        <v>82</v>
      </c>
      <c r="H25" s="9" t="s">
        <v>390</v>
      </c>
    </row>
    <row r="26" customFormat="false" ht="23.85" hidden="false" customHeight="false" outlineLevel="0" collapsed="false">
      <c r="A26" s="9" t="s">
        <v>471</v>
      </c>
      <c r="B26" s="9" t="s">
        <v>472</v>
      </c>
      <c r="C26" s="9" t="s">
        <v>436</v>
      </c>
      <c r="D26" s="9" t="s">
        <v>473</v>
      </c>
      <c r="E26" s="9" t="s">
        <v>412</v>
      </c>
      <c r="F26" s="9" t="s">
        <v>413</v>
      </c>
      <c r="G26" s="16" t="s">
        <v>82</v>
      </c>
      <c r="H26" s="9" t="s">
        <v>474</v>
      </c>
    </row>
    <row r="27" customFormat="false" ht="15" hidden="false" customHeight="false" outlineLevel="0" collapsed="false">
      <c r="A27" s="9" t="s">
        <v>471</v>
      </c>
      <c r="B27" s="9" t="s">
        <v>475</v>
      </c>
      <c r="C27" s="9" t="s">
        <v>416</v>
      </c>
      <c r="D27" s="9" t="s">
        <v>476</v>
      </c>
      <c r="E27" s="9" t="s">
        <v>412</v>
      </c>
      <c r="F27" s="9" t="s">
        <v>413</v>
      </c>
      <c r="G27" s="16" t="s">
        <v>82</v>
      </c>
      <c r="H27" s="9"/>
    </row>
    <row r="28" customFormat="false" ht="15" hidden="false" customHeight="false" outlineLevel="0" collapsed="false">
      <c r="A28" s="9" t="s">
        <v>477</v>
      </c>
      <c r="B28" s="9" t="s">
        <v>478</v>
      </c>
      <c r="C28" s="9" t="s">
        <v>479</v>
      </c>
      <c r="D28" s="9" t="s">
        <v>480</v>
      </c>
      <c r="E28" s="9" t="s">
        <v>481</v>
      </c>
      <c r="F28" s="9" t="s">
        <v>413</v>
      </c>
      <c r="G28" s="16" t="s">
        <v>82</v>
      </c>
      <c r="H28" s="9" t="s">
        <v>482</v>
      </c>
    </row>
    <row r="29" customFormat="false" ht="15" hidden="false" customHeight="false" outlineLevel="0" collapsed="false">
      <c r="A29" s="9" t="s">
        <v>173</v>
      </c>
      <c r="B29" s="9" t="s">
        <v>483</v>
      </c>
      <c r="C29" s="9" t="s">
        <v>399</v>
      </c>
      <c r="D29" s="9" t="s">
        <v>484</v>
      </c>
      <c r="E29" s="9" t="s">
        <v>420</v>
      </c>
      <c r="F29" s="9" t="s">
        <v>413</v>
      </c>
      <c r="G29" s="16" t="s">
        <v>82</v>
      </c>
      <c r="H29" s="9" t="s">
        <v>390</v>
      </c>
    </row>
    <row r="30" customFormat="false" ht="15" hidden="false" customHeight="false" outlineLevel="0" collapsed="false">
      <c r="A30" s="9" t="s">
        <v>173</v>
      </c>
      <c r="B30" s="9" t="s">
        <v>485</v>
      </c>
      <c r="C30" s="9" t="s">
        <v>436</v>
      </c>
      <c r="D30" s="9" t="s">
        <v>486</v>
      </c>
      <c r="E30" s="9" t="s">
        <v>420</v>
      </c>
      <c r="F30" s="9" t="s">
        <v>413</v>
      </c>
      <c r="G30" s="16" t="s">
        <v>82</v>
      </c>
      <c r="H30" s="9" t="s">
        <v>487</v>
      </c>
    </row>
    <row r="31" customFormat="false" ht="15" hidden="false" customHeight="false" outlineLevel="0" collapsed="false">
      <c r="A31" s="9" t="s">
        <v>173</v>
      </c>
      <c r="B31" s="9" t="s">
        <v>488</v>
      </c>
      <c r="C31" s="9" t="s">
        <v>436</v>
      </c>
      <c r="D31" s="9" t="s">
        <v>489</v>
      </c>
      <c r="E31" s="9" t="s">
        <v>420</v>
      </c>
      <c r="F31" s="9" t="s">
        <v>413</v>
      </c>
      <c r="G31" s="16" t="s">
        <v>82</v>
      </c>
      <c r="H31" s="9" t="s">
        <v>490</v>
      </c>
    </row>
    <row r="32" customFormat="false" ht="15" hidden="false" customHeight="false" outlineLevel="0" collapsed="false">
      <c r="A32" s="9" t="s">
        <v>491</v>
      </c>
      <c r="B32" s="9" t="s">
        <v>492</v>
      </c>
      <c r="C32" s="9" t="s">
        <v>493</v>
      </c>
      <c r="D32" s="9" t="s">
        <v>494</v>
      </c>
      <c r="E32" s="9" t="s">
        <v>495</v>
      </c>
      <c r="F32" s="9" t="s">
        <v>496</v>
      </c>
      <c r="G32" s="17" t="s">
        <v>83</v>
      </c>
      <c r="H32" s="9" t="s">
        <v>497</v>
      </c>
    </row>
    <row r="33" customFormat="false" ht="15" hidden="false" customHeight="false" outlineLevel="0" collapsed="false">
      <c r="A33" s="9" t="s">
        <v>491</v>
      </c>
      <c r="B33" s="9" t="s">
        <v>498</v>
      </c>
      <c r="C33" s="9" t="s">
        <v>436</v>
      </c>
      <c r="D33" s="9" t="s">
        <v>499</v>
      </c>
      <c r="E33" s="9" t="s">
        <v>495</v>
      </c>
      <c r="F33" s="9" t="s">
        <v>496</v>
      </c>
      <c r="G33" s="17" t="s">
        <v>83</v>
      </c>
      <c r="H33" s="9"/>
    </row>
    <row r="34" customFormat="false" ht="23.85" hidden="false" customHeight="false" outlineLevel="0" collapsed="false">
      <c r="A34" s="9" t="s">
        <v>491</v>
      </c>
      <c r="B34" s="9" t="s">
        <v>500</v>
      </c>
      <c r="C34" s="9" t="s">
        <v>436</v>
      </c>
      <c r="D34" s="9" t="s">
        <v>501</v>
      </c>
      <c r="E34" s="9" t="s">
        <v>495</v>
      </c>
      <c r="F34" s="9" t="s">
        <v>496</v>
      </c>
      <c r="G34" s="17" t="s">
        <v>83</v>
      </c>
      <c r="H34" s="9"/>
    </row>
    <row r="35" customFormat="false" ht="15" hidden="false" customHeight="false" outlineLevel="0" collapsed="false">
      <c r="A35" s="9" t="s">
        <v>491</v>
      </c>
      <c r="B35" s="9" t="s">
        <v>502</v>
      </c>
      <c r="C35" s="9" t="s">
        <v>503</v>
      </c>
      <c r="D35" s="9" t="s">
        <v>504</v>
      </c>
      <c r="E35" s="9" t="s">
        <v>495</v>
      </c>
      <c r="F35" s="9" t="s">
        <v>496</v>
      </c>
      <c r="G35" s="17" t="s">
        <v>83</v>
      </c>
      <c r="H35" s="9"/>
    </row>
    <row r="36" customFormat="false" ht="23.85" hidden="false" customHeight="false" outlineLevel="0" collapsed="false">
      <c r="A36" s="9" t="s">
        <v>505</v>
      </c>
      <c r="B36" s="9" t="s">
        <v>506</v>
      </c>
      <c r="C36" s="9"/>
      <c r="D36" s="9" t="s">
        <v>507</v>
      </c>
      <c r="E36" s="9" t="s">
        <v>495</v>
      </c>
      <c r="F36" s="9" t="s">
        <v>496</v>
      </c>
      <c r="G36" s="17" t="s">
        <v>83</v>
      </c>
      <c r="H36" s="9" t="s">
        <v>508</v>
      </c>
    </row>
    <row r="37" customFormat="false" ht="23.85" hidden="false" customHeight="false" outlineLevel="0" collapsed="false">
      <c r="A37" s="9" t="s">
        <v>509</v>
      </c>
      <c r="B37" s="9" t="s">
        <v>510</v>
      </c>
      <c r="C37" s="9"/>
      <c r="D37" s="9" t="s">
        <v>511</v>
      </c>
      <c r="E37" s="9" t="s">
        <v>495</v>
      </c>
      <c r="F37" s="9" t="s">
        <v>496</v>
      </c>
      <c r="G37" s="17" t="s">
        <v>83</v>
      </c>
      <c r="H37" s="9"/>
    </row>
    <row r="38" customFormat="false" ht="23.85" hidden="false" customHeight="false" outlineLevel="0" collapsed="false">
      <c r="A38" s="9" t="s">
        <v>512</v>
      </c>
      <c r="B38" s="9" t="s">
        <v>513</v>
      </c>
      <c r="C38" s="9"/>
      <c r="D38" s="9" t="s">
        <v>514</v>
      </c>
      <c r="E38" s="9" t="s">
        <v>83</v>
      </c>
      <c r="F38" s="9" t="s">
        <v>496</v>
      </c>
      <c r="G38" s="17" t="s">
        <v>83</v>
      </c>
      <c r="H38" s="9" t="s">
        <v>515</v>
      </c>
    </row>
    <row r="39" customFormat="false" ht="15" hidden="false" customHeight="false" outlineLevel="0" collapsed="false">
      <c r="A39" s="9" t="s">
        <v>516</v>
      </c>
      <c r="B39" s="9" t="s">
        <v>517</v>
      </c>
      <c r="C39" s="9"/>
      <c r="D39" s="9" t="s">
        <v>518</v>
      </c>
      <c r="E39" s="9" t="s">
        <v>495</v>
      </c>
      <c r="F39" s="9" t="s">
        <v>496</v>
      </c>
      <c r="G39" s="17" t="s">
        <v>83</v>
      </c>
      <c r="H39" s="9"/>
    </row>
    <row r="40" customFormat="false" ht="15" hidden="false" customHeight="false" outlineLevel="0" collapsed="false">
      <c r="A40" s="9" t="s">
        <v>519</v>
      </c>
      <c r="B40" s="9" t="s">
        <v>520</v>
      </c>
      <c r="C40" s="9"/>
      <c r="D40" s="9" t="s">
        <v>521</v>
      </c>
      <c r="E40" s="9" t="s">
        <v>495</v>
      </c>
      <c r="F40" s="9" t="s">
        <v>496</v>
      </c>
      <c r="G40" s="17" t="s">
        <v>83</v>
      </c>
      <c r="H40" s="9"/>
    </row>
    <row r="41" customFormat="false" ht="23.85" hidden="false" customHeight="false" outlineLevel="0" collapsed="false">
      <c r="A41" s="9" t="s">
        <v>522</v>
      </c>
      <c r="B41" s="9" t="s">
        <v>523</v>
      </c>
      <c r="C41" s="9"/>
      <c r="D41" s="9" t="s">
        <v>524</v>
      </c>
      <c r="E41" s="9" t="s">
        <v>495</v>
      </c>
      <c r="F41" s="9" t="s">
        <v>496</v>
      </c>
      <c r="G41" s="17" t="s">
        <v>83</v>
      </c>
      <c r="H41" s="9" t="s">
        <v>525</v>
      </c>
    </row>
    <row r="42" customFormat="false" ht="23.85" hidden="false" customHeight="false" outlineLevel="0" collapsed="false">
      <c r="A42" s="9" t="s">
        <v>526</v>
      </c>
      <c r="B42" s="9" t="s">
        <v>527</v>
      </c>
      <c r="C42" s="9"/>
      <c r="D42" s="9" t="s">
        <v>528</v>
      </c>
      <c r="E42" s="9" t="s">
        <v>495</v>
      </c>
      <c r="F42" s="9" t="s">
        <v>496</v>
      </c>
      <c r="G42" s="17" t="s">
        <v>83</v>
      </c>
      <c r="H42" s="9"/>
    </row>
    <row r="43" customFormat="false" ht="15" hidden="false" customHeight="false" outlineLevel="0" collapsed="false">
      <c r="A43" s="9" t="s">
        <v>529</v>
      </c>
      <c r="B43" s="9" t="s">
        <v>530</v>
      </c>
      <c r="C43" s="9"/>
      <c r="D43" s="9" t="s">
        <v>531</v>
      </c>
      <c r="E43" s="9" t="s">
        <v>83</v>
      </c>
      <c r="F43" s="9" t="s">
        <v>532</v>
      </c>
      <c r="G43" s="17" t="s">
        <v>83</v>
      </c>
      <c r="H43" s="9" t="s">
        <v>533</v>
      </c>
    </row>
  </sheetData>
  <autoFilter ref="A5:H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4"/>
    <col collapsed="false" customWidth="true" hidden="false" outlineLevel="0" max="4" min="4" style="0" width="8"/>
    <col collapsed="false" customWidth="true" hidden="false" outlineLevel="0" max="5" min="5" style="0" width="70"/>
    <col collapsed="false" customWidth="true" hidden="false" outlineLevel="0" max="6" min="6" style="0" width="30"/>
    <col collapsed="false" customWidth="true" hidden="false" outlineLevel="0" max="7" min="7" style="0" width="32"/>
    <col collapsed="false" customWidth="true" hidden="false" outlineLevel="0" max="8" min="8" style="0" width="28"/>
    <col collapsed="false" customWidth="true" hidden="false" outlineLevel="0" max="9" min="9" style="0" width="16"/>
    <col collapsed="false" customWidth="true" hidden="false" outlineLevel="0" max="11" min="10" style="0" width="8"/>
    <col collapsed="false" customWidth="true" hidden="false" outlineLevel="0" max="12" min="12" style="0" width="9"/>
    <col collapsed="false" customWidth="true" hidden="false" outlineLevel="0" max="13" min="13" style="0" width="46"/>
    <col collapsed="false" customWidth="true" hidden="false" outlineLevel="0" max="14" min="14" style="0" width="14"/>
  </cols>
  <sheetData>
    <row r="1" customFormat="false" ht="25.5" hidden="false" customHeight="true" outlineLevel="0" collapsed="false">
      <c r="A1" s="1" t="s">
        <v>534</v>
      </c>
    </row>
    <row r="2" customFormat="false" ht="15" hidden="false" customHeight="false" outlineLevel="0" collapsed="false">
      <c r="A2" s="2" t="s">
        <v>535</v>
      </c>
    </row>
    <row r="3" customFormat="false" ht="15" hidden="false" customHeight="false" outlineLevel="0" collapsed="false">
      <c r="A3" s="3"/>
      <c r="B3" s="3"/>
      <c r="C3" s="3"/>
      <c r="D3" s="3"/>
      <c r="E3" s="3"/>
      <c r="F3" s="3"/>
      <c r="G3" s="3"/>
      <c r="H3" s="3"/>
      <c r="I3" s="3"/>
      <c r="J3" s="3"/>
      <c r="K3" s="3"/>
      <c r="L3" s="3"/>
      <c r="M3" s="3"/>
      <c r="N3" s="3"/>
    </row>
    <row r="5" customFormat="false" ht="30" hidden="false" customHeight="true" outlineLevel="0" collapsed="false">
      <c r="A5" s="8" t="s">
        <v>536</v>
      </c>
      <c r="B5" s="8" t="s">
        <v>537</v>
      </c>
      <c r="C5" s="8" t="s">
        <v>538</v>
      </c>
      <c r="D5" s="8" t="s">
        <v>139</v>
      </c>
      <c r="E5" s="8" t="s">
        <v>539</v>
      </c>
      <c r="F5" s="8" t="s">
        <v>540</v>
      </c>
      <c r="G5" s="8" t="s">
        <v>541</v>
      </c>
      <c r="H5" s="8" t="s">
        <v>542</v>
      </c>
      <c r="I5" s="8" t="s">
        <v>543</v>
      </c>
      <c r="J5" s="8" t="s">
        <v>544</v>
      </c>
      <c r="K5" s="8" t="s">
        <v>545</v>
      </c>
      <c r="L5" s="8" t="s">
        <v>546</v>
      </c>
      <c r="M5" s="8" t="s">
        <v>547</v>
      </c>
      <c r="N5" s="8" t="s">
        <v>548</v>
      </c>
    </row>
    <row r="6" customFormat="false" ht="35.05" hidden="false" customHeight="false" outlineLevel="0" collapsed="false">
      <c r="A6" s="9" t="s">
        <v>549</v>
      </c>
      <c r="B6" s="9" t="s">
        <v>550</v>
      </c>
      <c r="C6" s="23" t="s">
        <v>551</v>
      </c>
      <c r="D6" s="24" t="s">
        <v>86</v>
      </c>
      <c r="E6" s="9" t="s">
        <v>552</v>
      </c>
      <c r="F6" s="9" t="s">
        <v>553</v>
      </c>
      <c r="G6" s="9" t="s">
        <v>554</v>
      </c>
      <c r="H6" s="9" t="s">
        <v>555</v>
      </c>
      <c r="I6" s="9" t="s">
        <v>556</v>
      </c>
      <c r="J6" s="25" t="n">
        <v>1</v>
      </c>
      <c r="K6" s="25" t="n">
        <v>1</v>
      </c>
      <c r="L6" s="26" t="n">
        <v>4</v>
      </c>
      <c r="M6" s="9" t="s">
        <v>557</v>
      </c>
      <c r="N6" s="9" t="s">
        <v>558</v>
      </c>
    </row>
    <row r="7" customFormat="false" ht="23.85" hidden="false" customHeight="false" outlineLevel="0" collapsed="false">
      <c r="A7" s="9" t="s">
        <v>559</v>
      </c>
      <c r="B7" s="9" t="s">
        <v>550</v>
      </c>
      <c r="C7" s="23" t="s">
        <v>560</v>
      </c>
      <c r="D7" s="24" t="s">
        <v>86</v>
      </c>
      <c r="E7" s="9" t="s">
        <v>561</v>
      </c>
      <c r="F7" s="9" t="s">
        <v>562</v>
      </c>
      <c r="G7" s="9" t="s">
        <v>563</v>
      </c>
      <c r="H7" s="9" t="s">
        <v>564</v>
      </c>
      <c r="I7" s="9" t="s">
        <v>549</v>
      </c>
      <c r="J7" s="25" t="n">
        <v>2</v>
      </c>
      <c r="K7" s="25" t="n">
        <v>8</v>
      </c>
      <c r="L7" s="26" t="n">
        <v>14</v>
      </c>
      <c r="M7" s="9" t="s">
        <v>565</v>
      </c>
      <c r="N7" s="9" t="s">
        <v>558</v>
      </c>
    </row>
    <row r="8" customFormat="false" ht="35.05" hidden="false" customHeight="false" outlineLevel="0" collapsed="false">
      <c r="A8" s="9" t="s">
        <v>566</v>
      </c>
      <c r="B8" s="9" t="s">
        <v>567</v>
      </c>
      <c r="C8" s="23" t="s">
        <v>568</v>
      </c>
      <c r="D8" s="24" t="s">
        <v>86</v>
      </c>
      <c r="E8" s="9" t="s">
        <v>569</v>
      </c>
      <c r="F8" s="9" t="s">
        <v>570</v>
      </c>
      <c r="G8" s="9" t="s">
        <v>571</v>
      </c>
      <c r="H8" s="9" t="s">
        <v>572</v>
      </c>
      <c r="I8" s="9" t="s">
        <v>573</v>
      </c>
      <c r="J8" s="25" t="n">
        <v>8</v>
      </c>
      <c r="K8" s="25" t="n">
        <v>8</v>
      </c>
      <c r="L8" s="26" t="n">
        <v>10</v>
      </c>
      <c r="M8" s="9" t="s">
        <v>574</v>
      </c>
      <c r="N8" s="9" t="s">
        <v>558</v>
      </c>
    </row>
    <row r="9" customFormat="false" ht="46.25" hidden="false" customHeight="false" outlineLevel="0" collapsed="false">
      <c r="A9" s="9" t="s">
        <v>575</v>
      </c>
      <c r="B9" s="9" t="s">
        <v>576</v>
      </c>
      <c r="C9" s="23" t="s">
        <v>577</v>
      </c>
      <c r="D9" s="24" t="s">
        <v>86</v>
      </c>
      <c r="E9" s="9" t="s">
        <v>578</v>
      </c>
      <c r="F9" s="9" t="s">
        <v>579</v>
      </c>
      <c r="G9" s="9" t="s">
        <v>580</v>
      </c>
      <c r="H9" s="9" t="s">
        <v>581</v>
      </c>
      <c r="I9" s="9" t="s">
        <v>566</v>
      </c>
      <c r="J9" s="25" t="n">
        <v>7</v>
      </c>
      <c r="K9" s="25" t="n">
        <v>8</v>
      </c>
      <c r="L9" s="26" t="n">
        <v>12</v>
      </c>
      <c r="M9" s="9" t="s">
        <v>582</v>
      </c>
      <c r="N9" s="9" t="s">
        <v>558</v>
      </c>
    </row>
    <row r="10" customFormat="false" ht="35.05" hidden="false" customHeight="false" outlineLevel="0" collapsed="false">
      <c r="A10" s="9" t="s">
        <v>583</v>
      </c>
      <c r="B10" s="9" t="s">
        <v>584</v>
      </c>
      <c r="C10" s="23" t="s">
        <v>585</v>
      </c>
      <c r="D10" s="16" t="s">
        <v>82</v>
      </c>
      <c r="E10" s="9" t="s">
        <v>586</v>
      </c>
      <c r="F10" s="9" t="s">
        <v>587</v>
      </c>
      <c r="G10" s="9" t="s">
        <v>588</v>
      </c>
      <c r="H10" s="9" t="s">
        <v>589</v>
      </c>
      <c r="I10" s="9" t="s">
        <v>549</v>
      </c>
      <c r="J10" s="25" t="n">
        <v>1</v>
      </c>
      <c r="K10" s="25" t="n">
        <v>1</v>
      </c>
      <c r="L10" s="26" t="n">
        <v>8</v>
      </c>
      <c r="M10" s="9" t="s">
        <v>590</v>
      </c>
      <c r="N10" s="9" t="s">
        <v>558</v>
      </c>
    </row>
    <row r="11" customFormat="false" ht="35.05" hidden="false" customHeight="false" outlineLevel="0" collapsed="false">
      <c r="A11" s="9" t="s">
        <v>591</v>
      </c>
      <c r="B11" s="9" t="s">
        <v>584</v>
      </c>
      <c r="C11" s="23" t="s">
        <v>592</v>
      </c>
      <c r="D11" s="16" t="s">
        <v>82</v>
      </c>
      <c r="E11" s="9" t="s">
        <v>593</v>
      </c>
      <c r="F11" s="9" t="s">
        <v>594</v>
      </c>
      <c r="G11" s="9" t="s">
        <v>595</v>
      </c>
      <c r="H11" s="9" t="s">
        <v>596</v>
      </c>
      <c r="I11" s="9" t="s">
        <v>583</v>
      </c>
      <c r="J11" s="25" t="n">
        <v>1</v>
      </c>
      <c r="K11" s="25" t="n">
        <v>1</v>
      </c>
      <c r="L11" s="26" t="n">
        <v>10</v>
      </c>
      <c r="M11" s="9" t="s">
        <v>597</v>
      </c>
      <c r="N11" s="9" t="s">
        <v>558</v>
      </c>
    </row>
    <row r="12" customFormat="false" ht="23.85" hidden="false" customHeight="false" outlineLevel="0" collapsed="false">
      <c r="A12" s="9" t="s">
        <v>598</v>
      </c>
      <c r="B12" s="9" t="s">
        <v>584</v>
      </c>
      <c r="C12" s="23" t="s">
        <v>599</v>
      </c>
      <c r="D12" s="16" t="s">
        <v>82</v>
      </c>
      <c r="E12" s="9" t="s">
        <v>600</v>
      </c>
      <c r="F12" s="9" t="s">
        <v>601</v>
      </c>
      <c r="G12" s="9" t="s">
        <v>602</v>
      </c>
      <c r="H12" s="9" t="s">
        <v>603</v>
      </c>
      <c r="I12" s="9" t="s">
        <v>604</v>
      </c>
      <c r="J12" s="25" t="n">
        <v>1</v>
      </c>
      <c r="K12" s="25" t="n">
        <v>1</v>
      </c>
      <c r="L12" s="26" t="n">
        <v>4</v>
      </c>
      <c r="M12" s="9" t="s">
        <v>605</v>
      </c>
      <c r="N12" s="9" t="s">
        <v>558</v>
      </c>
    </row>
    <row r="13" customFormat="false" ht="57.45" hidden="false" customHeight="false" outlineLevel="0" collapsed="false">
      <c r="A13" s="9" t="s">
        <v>606</v>
      </c>
      <c r="B13" s="9" t="s">
        <v>607</v>
      </c>
      <c r="C13" s="23" t="s">
        <v>608</v>
      </c>
      <c r="D13" s="16" t="s">
        <v>82</v>
      </c>
      <c r="E13" s="9" t="s">
        <v>609</v>
      </c>
      <c r="F13" s="9" t="s">
        <v>610</v>
      </c>
      <c r="G13" s="9" t="s">
        <v>611</v>
      </c>
      <c r="H13" s="9" t="s">
        <v>612</v>
      </c>
      <c r="I13" s="9" t="s">
        <v>591</v>
      </c>
      <c r="J13" s="25" t="n">
        <v>2</v>
      </c>
      <c r="K13" s="25" t="n">
        <v>2</v>
      </c>
      <c r="L13" s="26" t="n">
        <v>14</v>
      </c>
      <c r="M13" s="9" t="s">
        <v>613</v>
      </c>
      <c r="N13" s="9" t="s">
        <v>558</v>
      </c>
    </row>
    <row r="14" customFormat="false" ht="23.85" hidden="false" customHeight="false" outlineLevel="0" collapsed="false">
      <c r="A14" s="9" t="s">
        <v>614</v>
      </c>
      <c r="B14" s="9" t="s">
        <v>607</v>
      </c>
      <c r="C14" s="23" t="s">
        <v>615</v>
      </c>
      <c r="D14" s="16" t="s">
        <v>82</v>
      </c>
      <c r="E14" s="9" t="s">
        <v>616</v>
      </c>
      <c r="F14" s="9" t="s">
        <v>617</v>
      </c>
      <c r="G14" s="9" t="s">
        <v>618</v>
      </c>
      <c r="H14" s="9" t="s">
        <v>619</v>
      </c>
      <c r="I14" s="9" t="s">
        <v>591</v>
      </c>
      <c r="J14" s="25" t="n">
        <v>2</v>
      </c>
      <c r="K14" s="25" t="n">
        <v>2</v>
      </c>
      <c r="L14" s="26" t="n">
        <v>6</v>
      </c>
      <c r="M14" s="9" t="s">
        <v>620</v>
      </c>
      <c r="N14" s="9" t="s">
        <v>558</v>
      </c>
    </row>
    <row r="15" customFormat="false" ht="46.25" hidden="false" customHeight="false" outlineLevel="0" collapsed="false">
      <c r="A15" s="9" t="s">
        <v>621</v>
      </c>
      <c r="B15" s="9" t="s">
        <v>607</v>
      </c>
      <c r="C15" s="23" t="s">
        <v>622</v>
      </c>
      <c r="D15" s="16" t="s">
        <v>82</v>
      </c>
      <c r="E15" s="9" t="s">
        <v>623</v>
      </c>
      <c r="F15" s="9" t="s">
        <v>624</v>
      </c>
      <c r="G15" s="9" t="s">
        <v>401</v>
      </c>
      <c r="H15" s="9" t="s">
        <v>625</v>
      </c>
      <c r="I15" s="9" t="s">
        <v>591</v>
      </c>
      <c r="J15" s="25" t="n">
        <v>2</v>
      </c>
      <c r="K15" s="25" t="n">
        <v>2</v>
      </c>
      <c r="L15" s="26" t="n">
        <v>8</v>
      </c>
      <c r="M15" s="9" t="s">
        <v>626</v>
      </c>
      <c r="N15" s="9" t="s">
        <v>558</v>
      </c>
    </row>
    <row r="16" customFormat="false" ht="46.25" hidden="false" customHeight="false" outlineLevel="0" collapsed="false">
      <c r="A16" s="9" t="s">
        <v>627</v>
      </c>
      <c r="B16" s="9" t="s">
        <v>607</v>
      </c>
      <c r="C16" s="23" t="s">
        <v>628</v>
      </c>
      <c r="D16" s="16" t="s">
        <v>82</v>
      </c>
      <c r="E16" s="9" t="s">
        <v>629</v>
      </c>
      <c r="F16" s="9" t="s">
        <v>630</v>
      </c>
      <c r="G16" s="9" t="s">
        <v>451</v>
      </c>
      <c r="H16" s="9" t="s">
        <v>631</v>
      </c>
      <c r="I16" s="9" t="s">
        <v>591</v>
      </c>
      <c r="J16" s="25" t="n">
        <v>2</v>
      </c>
      <c r="K16" s="25" t="n">
        <v>3</v>
      </c>
      <c r="L16" s="26" t="n">
        <v>14</v>
      </c>
      <c r="M16" s="9" t="s">
        <v>632</v>
      </c>
      <c r="N16" s="9" t="s">
        <v>558</v>
      </c>
    </row>
    <row r="17" customFormat="false" ht="35.05" hidden="false" customHeight="false" outlineLevel="0" collapsed="false">
      <c r="A17" s="9" t="s">
        <v>633</v>
      </c>
      <c r="B17" s="9" t="s">
        <v>607</v>
      </c>
      <c r="C17" s="23" t="s">
        <v>634</v>
      </c>
      <c r="D17" s="16" t="s">
        <v>82</v>
      </c>
      <c r="E17" s="9" t="s">
        <v>635</v>
      </c>
      <c r="F17" s="9" t="s">
        <v>630</v>
      </c>
      <c r="G17" s="9" t="s">
        <v>471</v>
      </c>
      <c r="H17" s="9" t="s">
        <v>631</v>
      </c>
      <c r="I17" s="9" t="s">
        <v>591</v>
      </c>
      <c r="J17" s="25" t="n">
        <v>2</v>
      </c>
      <c r="K17" s="25" t="n">
        <v>3</v>
      </c>
      <c r="L17" s="26" t="n">
        <v>10</v>
      </c>
      <c r="M17" s="9" t="s">
        <v>636</v>
      </c>
      <c r="N17" s="9" t="s">
        <v>558</v>
      </c>
    </row>
    <row r="18" customFormat="false" ht="35.05" hidden="false" customHeight="false" outlineLevel="0" collapsed="false">
      <c r="A18" s="9" t="s">
        <v>637</v>
      </c>
      <c r="B18" s="9" t="s">
        <v>607</v>
      </c>
      <c r="C18" s="23" t="s">
        <v>638</v>
      </c>
      <c r="D18" s="16" t="s">
        <v>82</v>
      </c>
      <c r="E18" s="9" t="s">
        <v>639</v>
      </c>
      <c r="F18" s="9" t="s">
        <v>640</v>
      </c>
      <c r="G18" s="9" t="s">
        <v>444</v>
      </c>
      <c r="H18" s="9" t="s">
        <v>641</v>
      </c>
      <c r="I18" s="9" t="s">
        <v>591</v>
      </c>
      <c r="J18" s="25" t="n">
        <v>2</v>
      </c>
      <c r="K18" s="25" t="n">
        <v>2</v>
      </c>
      <c r="L18" s="26" t="n">
        <v>6</v>
      </c>
      <c r="M18" s="9" t="s">
        <v>642</v>
      </c>
      <c r="N18" s="9" t="s">
        <v>558</v>
      </c>
    </row>
    <row r="19" customFormat="false" ht="46.25" hidden="false" customHeight="false" outlineLevel="0" collapsed="false">
      <c r="A19" s="9" t="s">
        <v>643</v>
      </c>
      <c r="B19" s="9" t="s">
        <v>607</v>
      </c>
      <c r="C19" s="23" t="s">
        <v>644</v>
      </c>
      <c r="D19" s="16" t="s">
        <v>82</v>
      </c>
      <c r="E19" s="9" t="s">
        <v>645</v>
      </c>
      <c r="F19" s="9" t="s">
        <v>646</v>
      </c>
      <c r="G19" s="9" t="s">
        <v>647</v>
      </c>
      <c r="H19" s="9" t="s">
        <v>648</v>
      </c>
      <c r="I19" s="9" t="s">
        <v>591</v>
      </c>
      <c r="J19" s="25" t="n">
        <v>3</v>
      </c>
      <c r="K19" s="25" t="n">
        <v>3</v>
      </c>
      <c r="L19" s="26" t="n">
        <v>6</v>
      </c>
      <c r="M19" s="9" t="s">
        <v>649</v>
      </c>
      <c r="N19" s="9" t="s">
        <v>558</v>
      </c>
    </row>
    <row r="20" customFormat="false" ht="46.25" hidden="false" customHeight="false" outlineLevel="0" collapsed="false">
      <c r="A20" s="9" t="s">
        <v>650</v>
      </c>
      <c r="B20" s="9" t="s">
        <v>607</v>
      </c>
      <c r="C20" s="23" t="s">
        <v>651</v>
      </c>
      <c r="D20" s="16" t="s">
        <v>82</v>
      </c>
      <c r="E20" s="9" t="s">
        <v>652</v>
      </c>
      <c r="F20" s="9" t="s">
        <v>653</v>
      </c>
      <c r="G20" s="9" t="s">
        <v>654</v>
      </c>
      <c r="H20" s="9" t="s">
        <v>655</v>
      </c>
      <c r="I20" s="9" t="s">
        <v>656</v>
      </c>
      <c r="J20" s="25" t="n">
        <v>3</v>
      </c>
      <c r="K20" s="25" t="n">
        <v>3</v>
      </c>
      <c r="L20" s="26" t="n">
        <v>14</v>
      </c>
      <c r="M20" s="9" t="s">
        <v>657</v>
      </c>
      <c r="N20" s="9" t="s">
        <v>558</v>
      </c>
    </row>
    <row r="21" customFormat="false" ht="23.85" hidden="false" customHeight="false" outlineLevel="0" collapsed="false">
      <c r="A21" s="9" t="s">
        <v>658</v>
      </c>
      <c r="B21" s="9" t="s">
        <v>659</v>
      </c>
      <c r="C21" s="23" t="s">
        <v>660</v>
      </c>
      <c r="D21" s="16" t="s">
        <v>82</v>
      </c>
      <c r="E21" s="9" t="s">
        <v>661</v>
      </c>
      <c r="F21" s="9" t="s">
        <v>662</v>
      </c>
      <c r="G21" s="9" t="s">
        <v>663</v>
      </c>
      <c r="H21" s="9" t="s">
        <v>641</v>
      </c>
      <c r="I21" s="9" t="s">
        <v>650</v>
      </c>
      <c r="J21" s="25" t="n">
        <v>3</v>
      </c>
      <c r="K21" s="25" t="n">
        <v>3</v>
      </c>
      <c r="L21" s="26" t="n">
        <v>4</v>
      </c>
      <c r="M21" s="9" t="s">
        <v>664</v>
      </c>
      <c r="N21" s="9" t="s">
        <v>558</v>
      </c>
    </row>
    <row r="22" customFormat="false" ht="68.65" hidden="false" customHeight="false" outlineLevel="0" collapsed="false">
      <c r="A22" s="9" t="s">
        <v>665</v>
      </c>
      <c r="B22" s="9" t="s">
        <v>659</v>
      </c>
      <c r="C22" s="23" t="s">
        <v>666</v>
      </c>
      <c r="D22" s="16" t="s">
        <v>82</v>
      </c>
      <c r="E22" s="9" t="s">
        <v>667</v>
      </c>
      <c r="F22" s="9" t="s">
        <v>668</v>
      </c>
      <c r="G22" s="9" t="s">
        <v>669</v>
      </c>
      <c r="H22" s="9" t="s">
        <v>670</v>
      </c>
      <c r="I22" s="9" t="s">
        <v>650</v>
      </c>
      <c r="J22" s="25" t="n">
        <v>3</v>
      </c>
      <c r="K22" s="25" t="n">
        <v>3</v>
      </c>
      <c r="L22" s="26" t="n">
        <v>10</v>
      </c>
      <c r="M22" s="9" t="s">
        <v>671</v>
      </c>
      <c r="N22" s="9" t="s">
        <v>558</v>
      </c>
    </row>
    <row r="23" customFormat="false" ht="46.25" hidden="false" customHeight="false" outlineLevel="0" collapsed="false">
      <c r="A23" s="9" t="s">
        <v>672</v>
      </c>
      <c r="B23" s="9" t="s">
        <v>659</v>
      </c>
      <c r="C23" s="23" t="s">
        <v>673</v>
      </c>
      <c r="D23" s="16" t="s">
        <v>82</v>
      </c>
      <c r="E23" s="9" t="s">
        <v>674</v>
      </c>
      <c r="F23" s="9" t="s">
        <v>675</v>
      </c>
      <c r="G23" s="9" t="s">
        <v>676</v>
      </c>
      <c r="H23" s="9" t="s">
        <v>670</v>
      </c>
      <c r="I23" s="9" t="s">
        <v>665</v>
      </c>
      <c r="J23" s="25" t="n">
        <v>4</v>
      </c>
      <c r="K23" s="25" t="n">
        <v>4</v>
      </c>
      <c r="L23" s="26" t="n">
        <v>10</v>
      </c>
      <c r="M23" s="9" t="s">
        <v>677</v>
      </c>
      <c r="N23" s="9" t="s">
        <v>558</v>
      </c>
    </row>
    <row r="24" customFormat="false" ht="46.25" hidden="false" customHeight="false" outlineLevel="0" collapsed="false">
      <c r="A24" s="9" t="s">
        <v>678</v>
      </c>
      <c r="B24" s="9" t="s">
        <v>659</v>
      </c>
      <c r="C24" s="23" t="s">
        <v>679</v>
      </c>
      <c r="D24" s="16" t="s">
        <v>82</v>
      </c>
      <c r="E24" s="9" t="s">
        <v>680</v>
      </c>
      <c r="F24" s="9" t="s">
        <v>681</v>
      </c>
      <c r="G24" s="9" t="s">
        <v>682</v>
      </c>
      <c r="H24" s="9" t="s">
        <v>670</v>
      </c>
      <c r="I24" s="9" t="s">
        <v>650</v>
      </c>
      <c r="J24" s="25" t="n">
        <v>4</v>
      </c>
      <c r="K24" s="25" t="n">
        <v>4</v>
      </c>
      <c r="L24" s="26" t="n">
        <v>8</v>
      </c>
      <c r="M24" s="9" t="s">
        <v>683</v>
      </c>
      <c r="N24" s="9" t="s">
        <v>558</v>
      </c>
    </row>
    <row r="25" customFormat="false" ht="35.05" hidden="false" customHeight="false" outlineLevel="0" collapsed="false">
      <c r="A25" s="9" t="s">
        <v>684</v>
      </c>
      <c r="B25" s="9" t="s">
        <v>659</v>
      </c>
      <c r="C25" s="23" t="s">
        <v>685</v>
      </c>
      <c r="D25" s="16" t="s">
        <v>82</v>
      </c>
      <c r="E25" s="9" t="s">
        <v>686</v>
      </c>
      <c r="F25" s="9" t="s">
        <v>687</v>
      </c>
      <c r="G25" s="9" t="s">
        <v>688</v>
      </c>
      <c r="H25" s="9" t="s">
        <v>670</v>
      </c>
      <c r="I25" s="9" t="s">
        <v>689</v>
      </c>
      <c r="J25" s="25" t="n">
        <v>4</v>
      </c>
      <c r="K25" s="25" t="n">
        <v>4</v>
      </c>
      <c r="L25" s="26" t="n">
        <v>6</v>
      </c>
      <c r="M25" s="9" t="s">
        <v>690</v>
      </c>
      <c r="N25" s="9" t="s">
        <v>558</v>
      </c>
    </row>
    <row r="26" customFormat="false" ht="23.85" hidden="false" customHeight="false" outlineLevel="0" collapsed="false">
      <c r="A26" s="9" t="s">
        <v>691</v>
      </c>
      <c r="B26" s="9" t="s">
        <v>659</v>
      </c>
      <c r="C26" s="23" t="s">
        <v>692</v>
      </c>
      <c r="D26" s="16" t="s">
        <v>82</v>
      </c>
      <c r="E26" s="9" t="s">
        <v>693</v>
      </c>
      <c r="F26" s="9" t="s">
        <v>408</v>
      </c>
      <c r="G26" s="9" t="s">
        <v>694</v>
      </c>
      <c r="H26" s="9" t="s">
        <v>670</v>
      </c>
      <c r="I26" s="9" t="s">
        <v>650</v>
      </c>
      <c r="J26" s="25" t="n">
        <v>4</v>
      </c>
      <c r="K26" s="25" t="n">
        <v>4</v>
      </c>
      <c r="L26" s="26" t="n">
        <v>6</v>
      </c>
      <c r="M26" s="9" t="s">
        <v>695</v>
      </c>
      <c r="N26" s="9" t="s">
        <v>558</v>
      </c>
    </row>
    <row r="27" customFormat="false" ht="35.05" hidden="false" customHeight="false" outlineLevel="0" collapsed="false">
      <c r="A27" s="9" t="s">
        <v>696</v>
      </c>
      <c r="B27" s="9" t="s">
        <v>659</v>
      </c>
      <c r="C27" s="23" t="s">
        <v>697</v>
      </c>
      <c r="D27" s="16" t="s">
        <v>82</v>
      </c>
      <c r="E27" s="9" t="s">
        <v>698</v>
      </c>
      <c r="F27" s="9" t="s">
        <v>699</v>
      </c>
      <c r="G27" s="9" t="s">
        <v>700</v>
      </c>
      <c r="H27" s="9" t="s">
        <v>701</v>
      </c>
      <c r="I27" s="9" t="s">
        <v>702</v>
      </c>
      <c r="J27" s="25" t="n">
        <v>4</v>
      </c>
      <c r="K27" s="25" t="n">
        <v>5</v>
      </c>
      <c r="L27" s="26" t="n">
        <v>10</v>
      </c>
      <c r="M27" s="9" t="s">
        <v>703</v>
      </c>
      <c r="N27" s="9" t="s">
        <v>558</v>
      </c>
    </row>
    <row r="28" customFormat="false" ht="35.05" hidden="false" customHeight="false" outlineLevel="0" collapsed="false">
      <c r="A28" s="9" t="s">
        <v>704</v>
      </c>
      <c r="B28" s="9" t="s">
        <v>705</v>
      </c>
      <c r="C28" s="23" t="s">
        <v>706</v>
      </c>
      <c r="D28" s="16" t="s">
        <v>82</v>
      </c>
      <c r="E28" s="9" t="s">
        <v>707</v>
      </c>
      <c r="F28" s="9" t="s">
        <v>708</v>
      </c>
      <c r="G28" s="9" t="s">
        <v>709</v>
      </c>
      <c r="H28" s="9" t="s">
        <v>710</v>
      </c>
      <c r="I28" s="9" t="s">
        <v>711</v>
      </c>
      <c r="J28" s="25" t="n">
        <v>4</v>
      </c>
      <c r="K28" s="25" t="n">
        <v>5</v>
      </c>
      <c r="L28" s="26" t="n">
        <v>8</v>
      </c>
      <c r="M28" s="9" t="s">
        <v>712</v>
      </c>
      <c r="N28" s="9" t="s">
        <v>558</v>
      </c>
    </row>
    <row r="29" customFormat="false" ht="35.05" hidden="false" customHeight="false" outlineLevel="0" collapsed="false">
      <c r="A29" s="9" t="s">
        <v>713</v>
      </c>
      <c r="B29" s="9" t="s">
        <v>714</v>
      </c>
      <c r="C29" s="23" t="s">
        <v>715</v>
      </c>
      <c r="D29" s="16" t="s">
        <v>82</v>
      </c>
      <c r="E29" s="9" t="s">
        <v>716</v>
      </c>
      <c r="F29" s="9" t="s">
        <v>717</v>
      </c>
      <c r="G29" s="9" t="s">
        <v>718</v>
      </c>
      <c r="H29" s="9" t="s">
        <v>719</v>
      </c>
      <c r="I29" s="9" t="s">
        <v>720</v>
      </c>
      <c r="J29" s="25" t="n">
        <v>3</v>
      </c>
      <c r="K29" s="25" t="n">
        <v>5</v>
      </c>
      <c r="L29" s="26" t="n">
        <v>14</v>
      </c>
      <c r="M29" s="9" t="s">
        <v>721</v>
      </c>
      <c r="N29" s="9" t="s">
        <v>558</v>
      </c>
    </row>
    <row r="30" customFormat="false" ht="23.85" hidden="false" customHeight="false" outlineLevel="0" collapsed="false">
      <c r="A30" s="9" t="s">
        <v>722</v>
      </c>
      <c r="B30" s="9" t="s">
        <v>567</v>
      </c>
      <c r="C30" s="23" t="s">
        <v>723</v>
      </c>
      <c r="D30" s="16" t="s">
        <v>82</v>
      </c>
      <c r="E30" s="9" t="s">
        <v>724</v>
      </c>
      <c r="F30" s="9" t="s">
        <v>725</v>
      </c>
      <c r="G30" s="9" t="s">
        <v>726</v>
      </c>
      <c r="H30" s="9" t="s">
        <v>727</v>
      </c>
      <c r="I30" s="9" t="s">
        <v>728</v>
      </c>
      <c r="J30" s="25" t="n">
        <v>5</v>
      </c>
      <c r="K30" s="25" t="n">
        <v>5</v>
      </c>
      <c r="L30" s="26" t="n">
        <v>10</v>
      </c>
      <c r="M30" s="9" t="s">
        <v>729</v>
      </c>
      <c r="N30" s="9" t="s">
        <v>558</v>
      </c>
    </row>
    <row r="31" customFormat="false" ht="23.85" hidden="false" customHeight="false" outlineLevel="0" collapsed="false">
      <c r="A31" s="9" t="s">
        <v>730</v>
      </c>
      <c r="B31" s="9" t="s">
        <v>584</v>
      </c>
      <c r="C31" s="23" t="s">
        <v>731</v>
      </c>
      <c r="D31" s="16" t="s">
        <v>82</v>
      </c>
      <c r="E31" s="9" t="s">
        <v>732</v>
      </c>
      <c r="F31" s="9" t="s">
        <v>733</v>
      </c>
      <c r="G31" s="9" t="s">
        <v>734</v>
      </c>
      <c r="H31" s="9" t="s">
        <v>735</v>
      </c>
      <c r="I31" s="9" t="s">
        <v>713</v>
      </c>
      <c r="J31" s="25" t="n">
        <v>7</v>
      </c>
      <c r="K31" s="25" t="n">
        <v>7</v>
      </c>
      <c r="L31" s="26" t="n">
        <v>10</v>
      </c>
      <c r="M31" s="9" t="s">
        <v>736</v>
      </c>
      <c r="N31" s="9" t="s">
        <v>558</v>
      </c>
    </row>
    <row r="32" customFormat="false" ht="35.05" hidden="false" customHeight="false" outlineLevel="0" collapsed="false">
      <c r="A32" s="9" t="s">
        <v>604</v>
      </c>
      <c r="B32" s="9" t="s">
        <v>714</v>
      </c>
      <c r="C32" s="23" t="s">
        <v>737</v>
      </c>
      <c r="D32" s="17" t="s">
        <v>83</v>
      </c>
      <c r="E32" s="9" t="s">
        <v>738</v>
      </c>
      <c r="F32" s="9" t="s">
        <v>739</v>
      </c>
      <c r="G32" s="9" t="s">
        <v>740</v>
      </c>
      <c r="H32" s="9" t="s">
        <v>741</v>
      </c>
      <c r="I32" s="9" t="s">
        <v>549</v>
      </c>
      <c r="J32" s="25" t="n">
        <v>1</v>
      </c>
      <c r="K32" s="25" t="n">
        <v>1</v>
      </c>
      <c r="L32" s="26" t="n">
        <v>8</v>
      </c>
      <c r="M32" s="9" t="s">
        <v>742</v>
      </c>
      <c r="N32" s="9" t="s">
        <v>558</v>
      </c>
    </row>
    <row r="33" customFormat="false" ht="35.05" hidden="false" customHeight="false" outlineLevel="0" collapsed="false">
      <c r="A33" s="9" t="s">
        <v>743</v>
      </c>
      <c r="B33" s="9" t="s">
        <v>744</v>
      </c>
      <c r="C33" s="23" t="s">
        <v>745</v>
      </c>
      <c r="D33" s="17" t="s">
        <v>83</v>
      </c>
      <c r="E33" s="9" t="s">
        <v>746</v>
      </c>
      <c r="F33" s="9" t="s">
        <v>747</v>
      </c>
      <c r="G33" s="9" t="s">
        <v>748</v>
      </c>
      <c r="H33" s="9" t="s">
        <v>670</v>
      </c>
      <c r="I33" s="9" t="s">
        <v>658</v>
      </c>
      <c r="J33" s="25" t="n">
        <v>3</v>
      </c>
      <c r="K33" s="25" t="n">
        <v>3</v>
      </c>
      <c r="L33" s="26" t="n">
        <v>8</v>
      </c>
      <c r="M33" s="9" t="s">
        <v>749</v>
      </c>
      <c r="N33" s="9" t="s">
        <v>558</v>
      </c>
    </row>
    <row r="34" customFormat="false" ht="35.05" hidden="false" customHeight="false" outlineLevel="0" collapsed="false">
      <c r="A34" s="9" t="s">
        <v>750</v>
      </c>
      <c r="B34" s="9" t="s">
        <v>744</v>
      </c>
      <c r="C34" s="23" t="s">
        <v>751</v>
      </c>
      <c r="D34" s="17" t="s">
        <v>83</v>
      </c>
      <c r="E34" s="9" t="s">
        <v>752</v>
      </c>
      <c r="F34" s="9" t="s">
        <v>753</v>
      </c>
      <c r="G34" s="9" t="s">
        <v>754</v>
      </c>
      <c r="H34" s="9" t="s">
        <v>755</v>
      </c>
      <c r="I34" s="9" t="s">
        <v>756</v>
      </c>
      <c r="J34" s="25" t="n">
        <v>3</v>
      </c>
      <c r="K34" s="25" t="n">
        <v>4</v>
      </c>
      <c r="L34" s="26" t="n">
        <v>16</v>
      </c>
      <c r="M34" s="9" t="s">
        <v>757</v>
      </c>
      <c r="N34" s="9" t="s">
        <v>558</v>
      </c>
    </row>
    <row r="35" customFormat="false" ht="35.05" hidden="false" customHeight="false" outlineLevel="0" collapsed="false">
      <c r="A35" s="9" t="s">
        <v>758</v>
      </c>
      <c r="B35" s="9" t="s">
        <v>744</v>
      </c>
      <c r="C35" s="23" t="s">
        <v>759</v>
      </c>
      <c r="D35" s="17" t="s">
        <v>83</v>
      </c>
      <c r="E35" s="9" t="s">
        <v>760</v>
      </c>
      <c r="F35" s="9" t="s">
        <v>761</v>
      </c>
      <c r="G35" s="9" t="s">
        <v>762</v>
      </c>
      <c r="H35" s="9" t="s">
        <v>763</v>
      </c>
      <c r="I35" s="9" t="s">
        <v>764</v>
      </c>
      <c r="J35" s="25" t="n">
        <v>4</v>
      </c>
      <c r="K35" s="25" t="n">
        <v>4</v>
      </c>
      <c r="L35" s="26" t="n">
        <v>10</v>
      </c>
      <c r="M35" s="9" t="s">
        <v>765</v>
      </c>
      <c r="N35" s="9" t="s">
        <v>558</v>
      </c>
    </row>
    <row r="36" customFormat="false" ht="23.85" hidden="false" customHeight="false" outlineLevel="0" collapsed="false">
      <c r="A36" s="9" t="s">
        <v>766</v>
      </c>
      <c r="B36" s="9" t="s">
        <v>744</v>
      </c>
      <c r="C36" s="23" t="s">
        <v>767</v>
      </c>
      <c r="D36" s="17" t="s">
        <v>83</v>
      </c>
      <c r="E36" s="9" t="s">
        <v>768</v>
      </c>
      <c r="F36" s="9" t="s">
        <v>769</v>
      </c>
      <c r="G36" s="9" t="s">
        <v>770</v>
      </c>
      <c r="H36" s="9" t="s">
        <v>771</v>
      </c>
      <c r="I36" s="9" t="s">
        <v>758</v>
      </c>
      <c r="J36" s="25" t="n">
        <v>4</v>
      </c>
      <c r="K36" s="25" t="n">
        <v>5</v>
      </c>
      <c r="L36" s="26" t="n">
        <v>8</v>
      </c>
      <c r="M36" s="9" t="s">
        <v>772</v>
      </c>
      <c r="N36" s="9" t="s">
        <v>558</v>
      </c>
    </row>
    <row r="37" customFormat="false" ht="35.05" hidden="false" customHeight="false" outlineLevel="0" collapsed="false">
      <c r="A37" s="9" t="s">
        <v>773</v>
      </c>
      <c r="B37" s="9" t="s">
        <v>744</v>
      </c>
      <c r="C37" s="23" t="s">
        <v>507</v>
      </c>
      <c r="D37" s="17" t="s">
        <v>83</v>
      </c>
      <c r="E37" s="9" t="s">
        <v>774</v>
      </c>
      <c r="F37" s="9" t="s">
        <v>775</v>
      </c>
      <c r="G37" s="9" t="s">
        <v>505</v>
      </c>
      <c r="H37" s="9" t="s">
        <v>776</v>
      </c>
      <c r="I37" s="9" t="s">
        <v>758</v>
      </c>
      <c r="J37" s="25" t="n">
        <v>5</v>
      </c>
      <c r="K37" s="25" t="n">
        <v>5</v>
      </c>
      <c r="L37" s="26" t="n">
        <v>10</v>
      </c>
      <c r="M37" s="9" t="s">
        <v>777</v>
      </c>
      <c r="N37" s="9" t="s">
        <v>558</v>
      </c>
    </row>
    <row r="38" customFormat="false" ht="23.85" hidden="false" customHeight="false" outlineLevel="0" collapsed="false">
      <c r="A38" s="9" t="s">
        <v>778</v>
      </c>
      <c r="B38" s="9" t="s">
        <v>744</v>
      </c>
      <c r="C38" s="23" t="s">
        <v>779</v>
      </c>
      <c r="D38" s="17" t="s">
        <v>83</v>
      </c>
      <c r="E38" s="9" t="s">
        <v>780</v>
      </c>
      <c r="F38" s="9" t="s">
        <v>781</v>
      </c>
      <c r="G38" s="9" t="s">
        <v>782</v>
      </c>
      <c r="H38" s="9" t="s">
        <v>783</v>
      </c>
      <c r="I38" s="9" t="s">
        <v>758</v>
      </c>
      <c r="J38" s="25" t="n">
        <v>5</v>
      </c>
      <c r="K38" s="25" t="n">
        <v>5</v>
      </c>
      <c r="L38" s="26" t="n">
        <v>8</v>
      </c>
      <c r="M38" s="9" t="s">
        <v>784</v>
      </c>
      <c r="N38" s="9" t="s">
        <v>558</v>
      </c>
    </row>
    <row r="39" customFormat="false" ht="35.05" hidden="false" customHeight="false" outlineLevel="0" collapsed="false">
      <c r="A39" s="9" t="s">
        <v>785</v>
      </c>
      <c r="B39" s="9" t="s">
        <v>744</v>
      </c>
      <c r="C39" s="23" t="s">
        <v>786</v>
      </c>
      <c r="D39" s="17" t="s">
        <v>83</v>
      </c>
      <c r="E39" s="9" t="s">
        <v>787</v>
      </c>
      <c r="F39" s="9" t="s">
        <v>491</v>
      </c>
      <c r="G39" s="9" t="s">
        <v>788</v>
      </c>
      <c r="H39" s="9" t="s">
        <v>771</v>
      </c>
      <c r="I39" s="9" t="s">
        <v>789</v>
      </c>
      <c r="J39" s="25" t="n">
        <v>5</v>
      </c>
      <c r="K39" s="25" t="n">
        <v>5</v>
      </c>
      <c r="L39" s="26" t="n">
        <v>10</v>
      </c>
      <c r="M39" s="9" t="s">
        <v>790</v>
      </c>
      <c r="N39" s="9" t="s">
        <v>558</v>
      </c>
    </row>
    <row r="40" customFormat="false" ht="35.05" hidden="false" customHeight="false" outlineLevel="0" collapsed="false">
      <c r="A40" s="9" t="s">
        <v>791</v>
      </c>
      <c r="B40" s="9" t="s">
        <v>792</v>
      </c>
      <c r="C40" s="23" t="s">
        <v>793</v>
      </c>
      <c r="D40" s="17" t="s">
        <v>83</v>
      </c>
      <c r="E40" s="9" t="s">
        <v>794</v>
      </c>
      <c r="F40" s="9" t="s">
        <v>795</v>
      </c>
      <c r="G40" s="9" t="s">
        <v>796</v>
      </c>
      <c r="H40" s="9" t="s">
        <v>641</v>
      </c>
      <c r="I40" s="9" t="s">
        <v>797</v>
      </c>
      <c r="J40" s="25" t="n">
        <v>5</v>
      </c>
      <c r="K40" s="25" t="n">
        <v>5</v>
      </c>
      <c r="L40" s="26" t="n">
        <v>8</v>
      </c>
      <c r="M40" s="9" t="s">
        <v>798</v>
      </c>
      <c r="N40" s="9" t="s">
        <v>558</v>
      </c>
    </row>
    <row r="41" customFormat="false" ht="35.05" hidden="false" customHeight="false" outlineLevel="0" collapsed="false">
      <c r="A41" s="9" t="s">
        <v>799</v>
      </c>
      <c r="B41" s="9" t="s">
        <v>273</v>
      </c>
      <c r="C41" s="23" t="s">
        <v>800</v>
      </c>
      <c r="D41" s="17" t="s">
        <v>83</v>
      </c>
      <c r="E41" s="9" t="s">
        <v>801</v>
      </c>
      <c r="F41" s="9" t="s">
        <v>802</v>
      </c>
      <c r="G41" s="9" t="s">
        <v>803</v>
      </c>
      <c r="H41" s="9" t="s">
        <v>804</v>
      </c>
      <c r="I41" s="9" t="s">
        <v>791</v>
      </c>
      <c r="J41" s="25" t="n">
        <v>5</v>
      </c>
      <c r="K41" s="25" t="n">
        <v>5</v>
      </c>
      <c r="L41" s="26" t="n">
        <v>8</v>
      </c>
      <c r="M41" s="9" t="s">
        <v>805</v>
      </c>
      <c r="N41" s="9" t="s">
        <v>558</v>
      </c>
    </row>
    <row r="42" customFormat="false" ht="35.05" hidden="false" customHeight="false" outlineLevel="0" collapsed="false">
      <c r="A42" s="9" t="s">
        <v>806</v>
      </c>
      <c r="B42" s="9" t="s">
        <v>273</v>
      </c>
      <c r="C42" s="23" t="s">
        <v>807</v>
      </c>
      <c r="D42" s="17" t="s">
        <v>83</v>
      </c>
      <c r="E42" s="9" t="s">
        <v>808</v>
      </c>
      <c r="F42" s="9" t="s">
        <v>208</v>
      </c>
      <c r="G42" s="9" t="s">
        <v>809</v>
      </c>
      <c r="H42" s="9" t="s">
        <v>810</v>
      </c>
      <c r="I42" s="9" t="s">
        <v>743</v>
      </c>
      <c r="J42" s="25" t="n">
        <v>5</v>
      </c>
      <c r="K42" s="25" t="n">
        <v>5</v>
      </c>
      <c r="L42" s="26" t="n">
        <v>10</v>
      </c>
      <c r="M42" s="9" t="s">
        <v>811</v>
      </c>
      <c r="N42" s="9" t="s">
        <v>558</v>
      </c>
    </row>
    <row r="43" customFormat="false" ht="46.25" hidden="false" customHeight="false" outlineLevel="0" collapsed="false">
      <c r="A43" s="9" t="s">
        <v>812</v>
      </c>
      <c r="B43" s="9" t="s">
        <v>273</v>
      </c>
      <c r="C43" s="23" t="s">
        <v>813</v>
      </c>
      <c r="D43" s="17" t="s">
        <v>83</v>
      </c>
      <c r="E43" s="9" t="s">
        <v>814</v>
      </c>
      <c r="F43" s="9" t="s">
        <v>815</v>
      </c>
      <c r="G43" s="9" t="s">
        <v>816</v>
      </c>
      <c r="H43" s="9" t="s">
        <v>817</v>
      </c>
      <c r="I43" s="9" t="s">
        <v>818</v>
      </c>
      <c r="J43" s="25" t="n">
        <v>6</v>
      </c>
      <c r="K43" s="25" t="n">
        <v>6</v>
      </c>
      <c r="L43" s="26" t="n">
        <v>16</v>
      </c>
      <c r="M43" s="9" t="s">
        <v>819</v>
      </c>
      <c r="N43" s="9" t="s">
        <v>558</v>
      </c>
    </row>
    <row r="44" customFormat="false" ht="35.05" hidden="false" customHeight="false" outlineLevel="0" collapsed="false">
      <c r="A44" s="9" t="s">
        <v>820</v>
      </c>
      <c r="B44" s="9" t="s">
        <v>273</v>
      </c>
      <c r="C44" s="23" t="s">
        <v>821</v>
      </c>
      <c r="D44" s="17" t="s">
        <v>83</v>
      </c>
      <c r="E44" s="9" t="s">
        <v>822</v>
      </c>
      <c r="F44" s="9" t="s">
        <v>823</v>
      </c>
      <c r="G44" s="9" t="s">
        <v>824</v>
      </c>
      <c r="H44" s="9" t="s">
        <v>825</v>
      </c>
      <c r="I44" s="9" t="s">
        <v>812</v>
      </c>
      <c r="J44" s="25" t="n">
        <v>6</v>
      </c>
      <c r="K44" s="25" t="n">
        <v>6</v>
      </c>
      <c r="L44" s="26" t="n">
        <v>8</v>
      </c>
      <c r="M44" s="9" t="s">
        <v>826</v>
      </c>
      <c r="N44" s="9" t="s">
        <v>558</v>
      </c>
    </row>
    <row r="45" customFormat="false" ht="46.25" hidden="false" customHeight="false" outlineLevel="0" collapsed="false">
      <c r="A45" s="9" t="s">
        <v>827</v>
      </c>
      <c r="B45" s="9" t="s">
        <v>219</v>
      </c>
      <c r="C45" s="23" t="s">
        <v>828</v>
      </c>
      <c r="D45" s="17" t="s">
        <v>83</v>
      </c>
      <c r="E45" s="9" t="s">
        <v>829</v>
      </c>
      <c r="F45" s="9" t="s">
        <v>830</v>
      </c>
      <c r="G45" s="9" t="s">
        <v>831</v>
      </c>
      <c r="H45" s="9" t="s">
        <v>670</v>
      </c>
      <c r="I45" s="9" t="s">
        <v>812</v>
      </c>
      <c r="J45" s="25" t="n">
        <v>6</v>
      </c>
      <c r="K45" s="25" t="n">
        <v>7</v>
      </c>
      <c r="L45" s="26" t="n">
        <v>20</v>
      </c>
      <c r="M45" s="9" t="s">
        <v>832</v>
      </c>
      <c r="N45" s="9" t="s">
        <v>558</v>
      </c>
    </row>
    <row r="46" customFormat="false" ht="23.85" hidden="false" customHeight="false" outlineLevel="0" collapsed="false">
      <c r="A46" s="9" t="s">
        <v>833</v>
      </c>
      <c r="B46" s="9" t="s">
        <v>219</v>
      </c>
      <c r="C46" s="23" t="s">
        <v>834</v>
      </c>
      <c r="D46" s="17" t="s">
        <v>83</v>
      </c>
      <c r="E46" s="9" t="s">
        <v>835</v>
      </c>
      <c r="F46" s="9" t="s">
        <v>836</v>
      </c>
      <c r="G46" s="9" t="s">
        <v>837</v>
      </c>
      <c r="H46" s="9" t="s">
        <v>641</v>
      </c>
      <c r="I46" s="9" t="s">
        <v>827</v>
      </c>
      <c r="J46" s="25" t="n">
        <v>7</v>
      </c>
      <c r="K46" s="25" t="n">
        <v>7</v>
      </c>
      <c r="L46" s="26" t="n">
        <v>6</v>
      </c>
      <c r="M46" s="9" t="s">
        <v>838</v>
      </c>
      <c r="N46" s="9" t="s">
        <v>558</v>
      </c>
    </row>
    <row r="47" customFormat="false" ht="35.05" hidden="false" customHeight="false" outlineLevel="0" collapsed="false">
      <c r="A47" s="9" t="s">
        <v>839</v>
      </c>
      <c r="B47" s="9" t="s">
        <v>219</v>
      </c>
      <c r="C47" s="23" t="s">
        <v>840</v>
      </c>
      <c r="D47" s="17" t="s">
        <v>83</v>
      </c>
      <c r="E47" s="9" t="s">
        <v>841</v>
      </c>
      <c r="F47" s="9" t="s">
        <v>842</v>
      </c>
      <c r="G47" s="9" t="s">
        <v>843</v>
      </c>
      <c r="H47" s="9" t="s">
        <v>804</v>
      </c>
      <c r="I47" s="9" t="s">
        <v>833</v>
      </c>
      <c r="J47" s="25" t="n">
        <v>7</v>
      </c>
      <c r="K47" s="25" t="n">
        <v>7</v>
      </c>
      <c r="L47" s="26" t="n">
        <v>8</v>
      </c>
      <c r="M47" s="9" t="s">
        <v>844</v>
      </c>
      <c r="N47" s="9" t="s">
        <v>558</v>
      </c>
    </row>
    <row r="48" customFormat="false" ht="35.05" hidden="false" customHeight="false" outlineLevel="0" collapsed="false">
      <c r="A48" s="9" t="s">
        <v>845</v>
      </c>
      <c r="B48" s="9" t="s">
        <v>714</v>
      </c>
      <c r="C48" s="23" t="s">
        <v>846</v>
      </c>
      <c r="D48" s="17" t="s">
        <v>83</v>
      </c>
      <c r="E48" s="9" t="s">
        <v>847</v>
      </c>
      <c r="F48" s="9" t="s">
        <v>848</v>
      </c>
      <c r="G48" s="9" t="s">
        <v>849</v>
      </c>
      <c r="H48" s="9" t="s">
        <v>719</v>
      </c>
      <c r="I48" s="9" t="s">
        <v>850</v>
      </c>
      <c r="J48" s="25" t="n">
        <v>5</v>
      </c>
      <c r="K48" s="25" t="n">
        <v>7</v>
      </c>
      <c r="L48" s="26" t="n">
        <v>18</v>
      </c>
      <c r="M48" s="9" t="s">
        <v>851</v>
      </c>
      <c r="N48" s="9" t="s">
        <v>558</v>
      </c>
    </row>
    <row r="49" customFormat="false" ht="23.85" hidden="false" customHeight="false" outlineLevel="0" collapsed="false">
      <c r="A49" s="9" t="s">
        <v>852</v>
      </c>
      <c r="B49" s="9" t="s">
        <v>567</v>
      </c>
      <c r="C49" s="23" t="s">
        <v>853</v>
      </c>
      <c r="D49" s="17" t="s">
        <v>83</v>
      </c>
      <c r="E49" s="9" t="s">
        <v>854</v>
      </c>
      <c r="F49" s="9" t="s">
        <v>855</v>
      </c>
      <c r="G49" s="9" t="s">
        <v>856</v>
      </c>
      <c r="H49" s="9" t="s">
        <v>857</v>
      </c>
      <c r="I49" s="9" t="s">
        <v>858</v>
      </c>
      <c r="J49" s="25" t="n">
        <v>7</v>
      </c>
      <c r="K49" s="25" t="n">
        <v>7</v>
      </c>
      <c r="L49" s="26" t="n">
        <v>10</v>
      </c>
      <c r="M49" s="9" t="s">
        <v>859</v>
      </c>
      <c r="N49" s="9" t="s">
        <v>558</v>
      </c>
    </row>
    <row r="50" customFormat="false" ht="35.05" hidden="false" customHeight="false" outlineLevel="0" collapsed="false">
      <c r="A50" s="9" t="s">
        <v>860</v>
      </c>
      <c r="B50" s="9" t="s">
        <v>861</v>
      </c>
      <c r="C50" s="23" t="s">
        <v>862</v>
      </c>
      <c r="D50" s="17" t="s">
        <v>83</v>
      </c>
      <c r="E50" s="9" t="s">
        <v>863</v>
      </c>
      <c r="F50" s="9" t="s">
        <v>864</v>
      </c>
      <c r="G50" s="9" t="s">
        <v>865</v>
      </c>
      <c r="H50" s="9" t="s">
        <v>866</v>
      </c>
      <c r="I50" s="9" t="s">
        <v>827</v>
      </c>
      <c r="J50" s="25" t="n">
        <v>7</v>
      </c>
      <c r="K50" s="25" t="n">
        <v>7</v>
      </c>
      <c r="L50" s="26" t="n">
        <v>8</v>
      </c>
      <c r="M50" s="9" t="s">
        <v>867</v>
      </c>
      <c r="N50" s="9" t="s">
        <v>558</v>
      </c>
    </row>
    <row r="51" customFormat="false" ht="23.85" hidden="false" customHeight="false" outlineLevel="0" collapsed="false">
      <c r="A51" s="9" t="s">
        <v>868</v>
      </c>
      <c r="B51" s="9" t="s">
        <v>576</v>
      </c>
      <c r="C51" s="23" t="s">
        <v>869</v>
      </c>
      <c r="D51" s="17" t="s">
        <v>83</v>
      </c>
      <c r="E51" s="9" t="s">
        <v>870</v>
      </c>
      <c r="F51" s="9" t="s">
        <v>871</v>
      </c>
      <c r="G51" s="9" t="s">
        <v>872</v>
      </c>
      <c r="H51" s="9" t="s">
        <v>873</v>
      </c>
      <c r="I51" s="9" t="s">
        <v>860</v>
      </c>
      <c r="J51" s="25" t="n">
        <v>8</v>
      </c>
      <c r="K51" s="25" t="n">
        <v>8</v>
      </c>
      <c r="L51" s="26" t="n">
        <v>8</v>
      </c>
      <c r="M51" s="9" t="s">
        <v>874</v>
      </c>
      <c r="N51" s="9" t="s">
        <v>558</v>
      </c>
    </row>
    <row r="52" customFormat="false" ht="35.05" hidden="false" customHeight="false" outlineLevel="0" collapsed="false">
      <c r="A52" s="9" t="s">
        <v>875</v>
      </c>
      <c r="B52" s="9" t="s">
        <v>876</v>
      </c>
      <c r="C52" s="23" t="s">
        <v>877</v>
      </c>
      <c r="D52" s="18" t="s">
        <v>84</v>
      </c>
      <c r="E52" s="9" t="s">
        <v>878</v>
      </c>
      <c r="F52" s="9" t="s">
        <v>879</v>
      </c>
      <c r="G52" s="9" t="s">
        <v>880</v>
      </c>
      <c r="H52" s="9" t="s">
        <v>881</v>
      </c>
      <c r="I52" s="9" t="s">
        <v>549</v>
      </c>
      <c r="J52" s="25" t="n">
        <v>1</v>
      </c>
      <c r="K52" s="25" t="n">
        <v>1</v>
      </c>
      <c r="L52" s="26" t="n">
        <v>8</v>
      </c>
      <c r="M52" s="9" t="s">
        <v>882</v>
      </c>
      <c r="N52" s="9" t="s">
        <v>558</v>
      </c>
    </row>
    <row r="53" customFormat="false" ht="46.25" hidden="false" customHeight="false" outlineLevel="0" collapsed="false">
      <c r="A53" s="9" t="s">
        <v>883</v>
      </c>
      <c r="B53" s="9" t="s">
        <v>884</v>
      </c>
      <c r="C53" s="23" t="s">
        <v>885</v>
      </c>
      <c r="D53" s="18" t="s">
        <v>84</v>
      </c>
      <c r="E53" s="9" t="s">
        <v>886</v>
      </c>
      <c r="F53" s="9" t="s">
        <v>887</v>
      </c>
      <c r="G53" s="9" t="s">
        <v>888</v>
      </c>
      <c r="H53" s="9" t="s">
        <v>889</v>
      </c>
      <c r="I53" s="9" t="s">
        <v>875</v>
      </c>
      <c r="J53" s="25" t="n">
        <v>1</v>
      </c>
      <c r="K53" s="25" t="n">
        <v>2</v>
      </c>
      <c r="L53" s="26" t="n">
        <v>14</v>
      </c>
      <c r="M53" s="9" t="s">
        <v>890</v>
      </c>
      <c r="N53" s="9" t="s">
        <v>558</v>
      </c>
    </row>
    <row r="54" customFormat="false" ht="35.05" hidden="false" customHeight="false" outlineLevel="0" collapsed="false">
      <c r="A54" s="9" t="s">
        <v>891</v>
      </c>
      <c r="B54" s="9" t="s">
        <v>876</v>
      </c>
      <c r="C54" s="23" t="s">
        <v>892</v>
      </c>
      <c r="D54" s="18" t="s">
        <v>84</v>
      </c>
      <c r="E54" s="9" t="s">
        <v>893</v>
      </c>
      <c r="F54" s="9" t="s">
        <v>894</v>
      </c>
      <c r="G54" s="9" t="s">
        <v>895</v>
      </c>
      <c r="H54" s="9" t="s">
        <v>896</v>
      </c>
      <c r="I54" s="9" t="s">
        <v>883</v>
      </c>
      <c r="J54" s="25" t="n">
        <v>2</v>
      </c>
      <c r="K54" s="25" t="n">
        <v>2</v>
      </c>
      <c r="L54" s="26" t="n">
        <v>10</v>
      </c>
      <c r="M54" s="9" t="s">
        <v>897</v>
      </c>
      <c r="N54" s="9" t="s">
        <v>558</v>
      </c>
    </row>
    <row r="55" customFormat="false" ht="23.85" hidden="false" customHeight="false" outlineLevel="0" collapsed="false">
      <c r="A55" s="9" t="s">
        <v>898</v>
      </c>
      <c r="B55" s="9" t="s">
        <v>876</v>
      </c>
      <c r="C55" s="23" t="s">
        <v>899</v>
      </c>
      <c r="D55" s="18" t="s">
        <v>84</v>
      </c>
      <c r="E55" s="9" t="s">
        <v>900</v>
      </c>
      <c r="F55" s="9" t="s">
        <v>901</v>
      </c>
      <c r="G55" s="9" t="s">
        <v>902</v>
      </c>
      <c r="H55" s="9" t="s">
        <v>903</v>
      </c>
      <c r="I55" s="9" t="s">
        <v>904</v>
      </c>
      <c r="J55" s="25" t="n">
        <v>2</v>
      </c>
      <c r="K55" s="25" t="n">
        <v>2</v>
      </c>
      <c r="L55" s="26" t="n">
        <v>6</v>
      </c>
      <c r="M55" s="9" t="s">
        <v>905</v>
      </c>
      <c r="N55" s="9" t="s">
        <v>558</v>
      </c>
    </row>
    <row r="56" customFormat="false" ht="23.85" hidden="false" customHeight="false" outlineLevel="0" collapsed="false">
      <c r="A56" s="9" t="s">
        <v>906</v>
      </c>
      <c r="B56" s="9" t="s">
        <v>907</v>
      </c>
      <c r="C56" s="23" t="s">
        <v>908</v>
      </c>
      <c r="D56" s="18" t="s">
        <v>84</v>
      </c>
      <c r="E56" s="9" t="s">
        <v>909</v>
      </c>
      <c r="F56" s="9" t="s">
        <v>910</v>
      </c>
      <c r="G56" s="9" t="s">
        <v>911</v>
      </c>
      <c r="H56" s="9" t="s">
        <v>912</v>
      </c>
      <c r="I56" s="9" t="s">
        <v>913</v>
      </c>
      <c r="J56" s="25" t="n">
        <v>3</v>
      </c>
      <c r="K56" s="25" t="n">
        <v>3</v>
      </c>
      <c r="L56" s="26" t="n">
        <v>14</v>
      </c>
      <c r="M56" s="9" t="s">
        <v>914</v>
      </c>
      <c r="N56" s="9" t="s">
        <v>558</v>
      </c>
    </row>
    <row r="57" customFormat="false" ht="35.05" hidden="false" customHeight="false" outlineLevel="0" collapsed="false">
      <c r="A57" s="9" t="s">
        <v>915</v>
      </c>
      <c r="B57" s="9" t="s">
        <v>916</v>
      </c>
      <c r="C57" s="23" t="s">
        <v>917</v>
      </c>
      <c r="D57" s="18" t="s">
        <v>84</v>
      </c>
      <c r="E57" s="9" t="s">
        <v>918</v>
      </c>
      <c r="F57" s="9" t="s">
        <v>919</v>
      </c>
      <c r="G57" s="9" t="s">
        <v>920</v>
      </c>
      <c r="H57" s="9" t="s">
        <v>921</v>
      </c>
      <c r="I57" s="9" t="s">
        <v>913</v>
      </c>
      <c r="J57" s="25" t="n">
        <v>4</v>
      </c>
      <c r="K57" s="25" t="n">
        <v>4</v>
      </c>
      <c r="L57" s="26" t="n">
        <v>18</v>
      </c>
      <c r="M57" s="9" t="s">
        <v>922</v>
      </c>
      <c r="N57" s="9" t="s">
        <v>558</v>
      </c>
    </row>
    <row r="58" customFormat="false" ht="23.85" hidden="false" customHeight="false" outlineLevel="0" collapsed="false">
      <c r="A58" s="9" t="s">
        <v>923</v>
      </c>
      <c r="B58" s="9" t="s">
        <v>916</v>
      </c>
      <c r="C58" s="23" t="s">
        <v>924</v>
      </c>
      <c r="D58" s="18" t="s">
        <v>84</v>
      </c>
      <c r="E58" s="9" t="s">
        <v>925</v>
      </c>
      <c r="F58" s="9" t="s">
        <v>926</v>
      </c>
      <c r="G58" s="9" t="s">
        <v>927</v>
      </c>
      <c r="H58" s="9" t="s">
        <v>928</v>
      </c>
      <c r="I58" s="9" t="s">
        <v>915</v>
      </c>
      <c r="J58" s="25" t="n">
        <v>4</v>
      </c>
      <c r="K58" s="25" t="n">
        <v>4</v>
      </c>
      <c r="L58" s="26" t="n">
        <v>6</v>
      </c>
      <c r="M58" s="9" t="s">
        <v>929</v>
      </c>
      <c r="N58" s="9" t="s">
        <v>558</v>
      </c>
    </row>
    <row r="59" customFormat="false" ht="35.05" hidden="false" customHeight="false" outlineLevel="0" collapsed="false">
      <c r="A59" s="9" t="s">
        <v>930</v>
      </c>
      <c r="B59" s="9" t="s">
        <v>931</v>
      </c>
      <c r="C59" s="23" t="s">
        <v>932</v>
      </c>
      <c r="D59" s="18" t="s">
        <v>84</v>
      </c>
      <c r="E59" s="9" t="s">
        <v>933</v>
      </c>
      <c r="F59" s="9" t="s">
        <v>934</v>
      </c>
      <c r="G59" s="9" t="s">
        <v>935</v>
      </c>
      <c r="H59" s="9" t="s">
        <v>936</v>
      </c>
      <c r="I59" s="9" t="s">
        <v>937</v>
      </c>
      <c r="J59" s="25" t="n">
        <v>5</v>
      </c>
      <c r="K59" s="25" t="n">
        <v>5</v>
      </c>
      <c r="L59" s="26" t="n">
        <v>18</v>
      </c>
      <c r="M59" s="9" t="s">
        <v>938</v>
      </c>
      <c r="N59" s="9" t="s">
        <v>558</v>
      </c>
    </row>
    <row r="60" customFormat="false" ht="35.05" hidden="false" customHeight="false" outlineLevel="0" collapsed="false">
      <c r="A60" s="9" t="s">
        <v>939</v>
      </c>
      <c r="B60" s="9" t="s">
        <v>940</v>
      </c>
      <c r="C60" s="23" t="s">
        <v>941</v>
      </c>
      <c r="D60" s="18" t="s">
        <v>84</v>
      </c>
      <c r="E60" s="9" t="s">
        <v>942</v>
      </c>
      <c r="F60" s="9" t="s">
        <v>943</v>
      </c>
      <c r="G60" s="9" t="s">
        <v>944</v>
      </c>
      <c r="H60" s="9" t="s">
        <v>928</v>
      </c>
      <c r="I60" s="9" t="s">
        <v>930</v>
      </c>
      <c r="J60" s="25" t="n">
        <v>5</v>
      </c>
      <c r="K60" s="25" t="n">
        <v>6</v>
      </c>
      <c r="L60" s="26" t="n">
        <v>14</v>
      </c>
      <c r="M60" s="9" t="s">
        <v>945</v>
      </c>
      <c r="N60" s="9" t="s">
        <v>558</v>
      </c>
    </row>
    <row r="61" customFormat="false" ht="23.85" hidden="false" customHeight="false" outlineLevel="0" collapsed="false">
      <c r="A61" s="9" t="s">
        <v>946</v>
      </c>
      <c r="B61" s="9" t="s">
        <v>947</v>
      </c>
      <c r="C61" s="23" t="s">
        <v>948</v>
      </c>
      <c r="D61" s="18" t="s">
        <v>84</v>
      </c>
      <c r="E61" s="9" t="s">
        <v>949</v>
      </c>
      <c r="F61" s="9" t="s">
        <v>950</v>
      </c>
      <c r="G61" s="9" t="s">
        <v>951</v>
      </c>
      <c r="H61" s="9" t="s">
        <v>928</v>
      </c>
      <c r="I61" s="9" t="s">
        <v>952</v>
      </c>
      <c r="J61" s="25" t="n">
        <v>6</v>
      </c>
      <c r="K61" s="25" t="n">
        <v>6</v>
      </c>
      <c r="L61" s="26" t="n">
        <v>8</v>
      </c>
      <c r="M61" s="9" t="s">
        <v>953</v>
      </c>
      <c r="N61" s="9" t="s">
        <v>558</v>
      </c>
    </row>
    <row r="62" customFormat="false" ht="23.85" hidden="false" customHeight="false" outlineLevel="0" collapsed="false">
      <c r="A62" s="9" t="s">
        <v>954</v>
      </c>
      <c r="B62" s="9" t="s">
        <v>955</v>
      </c>
      <c r="C62" s="23" t="s">
        <v>956</v>
      </c>
      <c r="D62" s="18" t="s">
        <v>84</v>
      </c>
      <c r="E62" s="9" t="s">
        <v>957</v>
      </c>
      <c r="F62" s="9" t="s">
        <v>958</v>
      </c>
      <c r="G62" s="9" t="s">
        <v>959</v>
      </c>
      <c r="H62" s="9" t="s">
        <v>960</v>
      </c>
      <c r="I62" s="9" t="s">
        <v>883</v>
      </c>
      <c r="J62" s="25" t="n">
        <v>6</v>
      </c>
      <c r="K62" s="25" t="n">
        <v>6</v>
      </c>
      <c r="L62" s="26" t="n">
        <v>6</v>
      </c>
      <c r="M62" s="9" t="s">
        <v>961</v>
      </c>
      <c r="N62" s="9" t="s">
        <v>558</v>
      </c>
    </row>
    <row r="63" customFormat="false" ht="23.85" hidden="false" customHeight="false" outlineLevel="0" collapsed="false">
      <c r="A63" s="9" t="s">
        <v>962</v>
      </c>
      <c r="B63" s="9" t="s">
        <v>963</v>
      </c>
      <c r="C63" s="23" t="s">
        <v>964</v>
      </c>
      <c r="D63" s="18" t="s">
        <v>84</v>
      </c>
      <c r="E63" s="9" t="s">
        <v>965</v>
      </c>
      <c r="F63" s="9" t="s">
        <v>966</v>
      </c>
      <c r="G63" s="9" t="s">
        <v>967</v>
      </c>
      <c r="H63" s="9" t="s">
        <v>968</v>
      </c>
      <c r="I63" s="9" t="s">
        <v>730</v>
      </c>
      <c r="J63" s="25" t="n">
        <v>7</v>
      </c>
      <c r="K63" s="25" t="n">
        <v>7</v>
      </c>
      <c r="L63" s="26" t="n">
        <v>10</v>
      </c>
      <c r="M63" s="9" t="s">
        <v>969</v>
      </c>
      <c r="N63" s="9" t="s">
        <v>558</v>
      </c>
    </row>
    <row r="64" customFormat="false" ht="23.85" hidden="false" customHeight="false" outlineLevel="0" collapsed="false">
      <c r="A64" s="9" t="s">
        <v>970</v>
      </c>
      <c r="B64" s="9" t="s">
        <v>567</v>
      </c>
      <c r="C64" s="23" t="s">
        <v>971</v>
      </c>
      <c r="D64" s="18" t="s">
        <v>84</v>
      </c>
      <c r="E64" s="9" t="s">
        <v>972</v>
      </c>
      <c r="F64" s="9" t="s">
        <v>973</v>
      </c>
      <c r="G64" s="9" t="s">
        <v>974</v>
      </c>
      <c r="H64" s="9" t="s">
        <v>975</v>
      </c>
      <c r="I64" s="9" t="s">
        <v>962</v>
      </c>
      <c r="J64" s="25" t="n">
        <v>7</v>
      </c>
      <c r="K64" s="25" t="n">
        <v>7</v>
      </c>
      <c r="L64" s="26" t="n">
        <v>8</v>
      </c>
      <c r="M64" s="9" t="s">
        <v>976</v>
      </c>
      <c r="N64" s="9" t="s">
        <v>558</v>
      </c>
    </row>
    <row r="65" customFormat="false" ht="35.05" hidden="false" customHeight="false" outlineLevel="0" collapsed="false">
      <c r="A65" s="9" t="s">
        <v>977</v>
      </c>
      <c r="B65" s="9" t="s">
        <v>978</v>
      </c>
      <c r="C65" s="23" t="s">
        <v>979</v>
      </c>
      <c r="D65" s="19" t="s">
        <v>85</v>
      </c>
      <c r="E65" s="9" t="s">
        <v>980</v>
      </c>
      <c r="F65" s="9" t="s">
        <v>981</v>
      </c>
      <c r="G65" s="9" t="s">
        <v>982</v>
      </c>
      <c r="H65" s="9" t="s">
        <v>983</v>
      </c>
      <c r="I65" s="9" t="s">
        <v>549</v>
      </c>
      <c r="J65" s="25" t="n">
        <v>1</v>
      </c>
      <c r="K65" s="25" t="n">
        <v>1</v>
      </c>
      <c r="L65" s="26" t="n">
        <v>10</v>
      </c>
      <c r="M65" s="9" t="s">
        <v>984</v>
      </c>
      <c r="N65" s="9" t="s">
        <v>558</v>
      </c>
    </row>
    <row r="66" customFormat="false" ht="23.85" hidden="false" customHeight="false" outlineLevel="0" collapsed="false">
      <c r="A66" s="9" t="s">
        <v>985</v>
      </c>
      <c r="B66" s="9" t="s">
        <v>986</v>
      </c>
      <c r="C66" s="23" t="s">
        <v>987</v>
      </c>
      <c r="D66" s="19" t="s">
        <v>85</v>
      </c>
      <c r="E66" s="9" t="s">
        <v>988</v>
      </c>
      <c r="F66" s="9" t="s">
        <v>989</v>
      </c>
      <c r="G66" s="9" t="s">
        <v>990</v>
      </c>
      <c r="H66" s="9" t="s">
        <v>991</v>
      </c>
      <c r="I66" s="9" t="s">
        <v>992</v>
      </c>
      <c r="J66" s="25" t="n">
        <v>2</v>
      </c>
      <c r="K66" s="25" t="n">
        <v>2</v>
      </c>
      <c r="L66" s="26" t="n">
        <v>6</v>
      </c>
      <c r="M66" s="9" t="s">
        <v>993</v>
      </c>
      <c r="N66" s="9" t="s">
        <v>558</v>
      </c>
    </row>
    <row r="67" customFormat="false" ht="35.05" hidden="false" customHeight="false" outlineLevel="0" collapsed="false">
      <c r="A67" s="9" t="s">
        <v>994</v>
      </c>
      <c r="B67" s="9" t="s">
        <v>995</v>
      </c>
      <c r="C67" s="23" t="s">
        <v>996</v>
      </c>
      <c r="D67" s="19" t="s">
        <v>85</v>
      </c>
      <c r="E67" s="9" t="s">
        <v>997</v>
      </c>
      <c r="F67" s="9" t="s">
        <v>998</v>
      </c>
      <c r="G67" s="9" t="s">
        <v>999</v>
      </c>
      <c r="H67" s="9" t="s">
        <v>1000</v>
      </c>
      <c r="I67" s="9" t="s">
        <v>1001</v>
      </c>
      <c r="J67" s="25" t="n">
        <v>5</v>
      </c>
      <c r="K67" s="25" t="n">
        <v>5</v>
      </c>
      <c r="L67" s="26" t="n">
        <v>14</v>
      </c>
      <c r="M67" s="9" t="s">
        <v>1002</v>
      </c>
      <c r="N67" s="9" t="s">
        <v>558</v>
      </c>
    </row>
    <row r="68" customFormat="false" ht="23.85" hidden="false" customHeight="false" outlineLevel="0" collapsed="false">
      <c r="A68" s="9" t="s">
        <v>1003</v>
      </c>
      <c r="B68" s="9" t="s">
        <v>1004</v>
      </c>
      <c r="C68" s="23" t="s">
        <v>1005</v>
      </c>
      <c r="D68" s="19" t="s">
        <v>85</v>
      </c>
      <c r="E68" s="9" t="s">
        <v>1006</v>
      </c>
      <c r="F68" s="9" t="s">
        <v>1007</v>
      </c>
      <c r="G68" s="9" t="s">
        <v>1008</v>
      </c>
      <c r="H68" s="9" t="s">
        <v>968</v>
      </c>
      <c r="I68" s="9" t="s">
        <v>994</v>
      </c>
      <c r="J68" s="25" t="n">
        <v>6</v>
      </c>
      <c r="K68" s="25" t="n">
        <v>6</v>
      </c>
      <c r="L68" s="26" t="n">
        <v>10</v>
      </c>
      <c r="M68" s="9" t="s">
        <v>1009</v>
      </c>
      <c r="N68" s="9" t="s">
        <v>558</v>
      </c>
    </row>
    <row r="69" customFormat="false" ht="35.05" hidden="false" customHeight="false" outlineLevel="0" collapsed="false">
      <c r="A69" s="9" t="s">
        <v>1010</v>
      </c>
      <c r="B69" s="9" t="s">
        <v>1011</v>
      </c>
      <c r="C69" s="23" t="s">
        <v>1012</v>
      </c>
      <c r="D69" s="19" t="s">
        <v>85</v>
      </c>
      <c r="E69" s="9" t="s">
        <v>1013</v>
      </c>
      <c r="F69" s="9" t="s">
        <v>1014</v>
      </c>
      <c r="G69" s="9" t="s">
        <v>1015</v>
      </c>
      <c r="H69" s="9" t="s">
        <v>1016</v>
      </c>
      <c r="I69" s="9" t="s">
        <v>1017</v>
      </c>
      <c r="J69" s="25" t="n">
        <v>6</v>
      </c>
      <c r="K69" s="25" t="n">
        <v>6</v>
      </c>
      <c r="L69" s="26" t="n">
        <v>16</v>
      </c>
      <c r="M69" s="9" t="s">
        <v>1018</v>
      </c>
      <c r="N69" s="9" t="s">
        <v>558</v>
      </c>
    </row>
    <row r="70" customFormat="false" ht="23.85" hidden="false" customHeight="false" outlineLevel="0" collapsed="false">
      <c r="A70" s="9" t="s">
        <v>1019</v>
      </c>
      <c r="B70" s="9" t="s">
        <v>1020</v>
      </c>
      <c r="C70" s="23" t="s">
        <v>1021</v>
      </c>
      <c r="D70" s="19" t="s">
        <v>85</v>
      </c>
      <c r="E70" s="9" t="s">
        <v>1022</v>
      </c>
      <c r="F70" s="9" t="s">
        <v>1023</v>
      </c>
      <c r="G70" s="9" t="s">
        <v>1024</v>
      </c>
      <c r="H70" s="9" t="s">
        <v>1025</v>
      </c>
      <c r="I70" s="9" t="s">
        <v>1026</v>
      </c>
      <c r="J70" s="25" t="n">
        <v>6</v>
      </c>
      <c r="K70" s="25" t="n">
        <v>6</v>
      </c>
      <c r="L70" s="26" t="n">
        <v>10</v>
      </c>
      <c r="M70" s="9" t="s">
        <v>1027</v>
      </c>
      <c r="N70" s="9" t="s">
        <v>558</v>
      </c>
    </row>
    <row r="71" customFormat="false" ht="23.85" hidden="false" customHeight="false" outlineLevel="0" collapsed="false">
      <c r="A71" s="9" t="s">
        <v>1028</v>
      </c>
      <c r="B71" s="9" t="s">
        <v>1029</v>
      </c>
      <c r="C71" s="23" t="s">
        <v>1030</v>
      </c>
      <c r="D71" s="19" t="s">
        <v>85</v>
      </c>
      <c r="E71" s="9" t="s">
        <v>1031</v>
      </c>
      <c r="F71" s="9" t="s">
        <v>1032</v>
      </c>
      <c r="G71" s="9" t="s">
        <v>1033</v>
      </c>
      <c r="H71" s="9" t="s">
        <v>928</v>
      </c>
      <c r="I71" s="9" t="s">
        <v>1034</v>
      </c>
      <c r="J71" s="25" t="n">
        <v>7</v>
      </c>
      <c r="K71" s="25" t="n">
        <v>7</v>
      </c>
      <c r="L71" s="26" t="n">
        <v>14</v>
      </c>
      <c r="M71" s="9" t="s">
        <v>1035</v>
      </c>
      <c r="N71" s="9" t="s">
        <v>558</v>
      </c>
    </row>
    <row r="72" customFormat="false" ht="23.85" hidden="false" customHeight="false" outlineLevel="0" collapsed="false">
      <c r="A72" s="9" t="s">
        <v>1036</v>
      </c>
      <c r="B72" s="9" t="s">
        <v>1029</v>
      </c>
      <c r="C72" s="23" t="s">
        <v>1037</v>
      </c>
      <c r="D72" s="19" t="s">
        <v>85</v>
      </c>
      <c r="E72" s="9" t="s">
        <v>1038</v>
      </c>
      <c r="F72" s="9" t="s">
        <v>1039</v>
      </c>
      <c r="G72" s="9" t="s">
        <v>1040</v>
      </c>
      <c r="H72" s="9" t="s">
        <v>928</v>
      </c>
      <c r="I72" s="9" t="s">
        <v>1041</v>
      </c>
      <c r="J72" s="25" t="n">
        <v>7</v>
      </c>
      <c r="K72" s="25" t="n">
        <v>7</v>
      </c>
      <c r="L72" s="26" t="n">
        <v>12</v>
      </c>
      <c r="M72" s="9" t="s">
        <v>1042</v>
      </c>
      <c r="N72" s="9" t="s">
        <v>558</v>
      </c>
    </row>
    <row r="73" customFormat="false" ht="23.85" hidden="false" customHeight="false" outlineLevel="0" collapsed="false">
      <c r="A73" s="9" t="s">
        <v>1043</v>
      </c>
      <c r="B73" s="9" t="s">
        <v>1029</v>
      </c>
      <c r="C73" s="23" t="s">
        <v>1044</v>
      </c>
      <c r="D73" s="19" t="s">
        <v>85</v>
      </c>
      <c r="E73" s="9" t="s">
        <v>1045</v>
      </c>
      <c r="F73" s="9" t="s">
        <v>1046</v>
      </c>
      <c r="G73" s="9" t="s">
        <v>1047</v>
      </c>
      <c r="H73" s="9" t="s">
        <v>1048</v>
      </c>
      <c r="I73" s="9" t="s">
        <v>1049</v>
      </c>
      <c r="J73" s="25" t="n">
        <v>7</v>
      </c>
      <c r="K73" s="25" t="n">
        <v>7</v>
      </c>
      <c r="L73" s="26" t="n">
        <v>8</v>
      </c>
      <c r="M73" s="9" t="s">
        <v>1050</v>
      </c>
      <c r="N73" s="9" t="s">
        <v>558</v>
      </c>
    </row>
    <row r="74" customFormat="false" ht="23.85" hidden="false" customHeight="false" outlineLevel="0" collapsed="false">
      <c r="A74" s="9" t="s">
        <v>1051</v>
      </c>
      <c r="B74" s="9" t="s">
        <v>1052</v>
      </c>
      <c r="C74" s="23" t="s">
        <v>1053</v>
      </c>
      <c r="D74" s="19" t="s">
        <v>85</v>
      </c>
      <c r="E74" s="9" t="s">
        <v>1054</v>
      </c>
      <c r="F74" s="9" t="s">
        <v>1055</v>
      </c>
      <c r="G74" s="9" t="s">
        <v>1056</v>
      </c>
      <c r="H74" s="9" t="s">
        <v>1057</v>
      </c>
      <c r="I74" s="9" t="s">
        <v>860</v>
      </c>
      <c r="J74" s="25" t="n">
        <v>7</v>
      </c>
      <c r="K74" s="25" t="n">
        <v>7</v>
      </c>
      <c r="L74" s="26" t="n">
        <v>8</v>
      </c>
      <c r="M74" s="9" t="s">
        <v>1058</v>
      </c>
      <c r="N74" s="9" t="s">
        <v>558</v>
      </c>
    </row>
    <row r="75" customFormat="false" ht="35.05" hidden="false" customHeight="false" outlineLevel="0" collapsed="false">
      <c r="A75" s="9" t="s">
        <v>1059</v>
      </c>
      <c r="B75" s="9" t="s">
        <v>1060</v>
      </c>
      <c r="C75" s="23" t="s">
        <v>1061</v>
      </c>
      <c r="D75" s="19" t="s">
        <v>85</v>
      </c>
      <c r="E75" s="9" t="s">
        <v>1062</v>
      </c>
      <c r="F75" s="9" t="s">
        <v>1063</v>
      </c>
      <c r="G75" s="9" t="s">
        <v>1064</v>
      </c>
      <c r="H75" s="9" t="s">
        <v>1065</v>
      </c>
      <c r="I75" s="9" t="s">
        <v>1066</v>
      </c>
      <c r="J75" s="25" t="n">
        <v>8</v>
      </c>
      <c r="K75" s="25" t="n">
        <v>8</v>
      </c>
      <c r="L75" s="26" t="n">
        <v>10</v>
      </c>
      <c r="M75" s="9" t="s">
        <v>1067</v>
      </c>
      <c r="N75" s="9" t="s">
        <v>558</v>
      </c>
    </row>
    <row r="76" customFormat="false" ht="23.85" hidden="false" customHeight="false" outlineLevel="0" collapsed="false">
      <c r="A76" s="9" t="s">
        <v>1068</v>
      </c>
      <c r="B76" s="9" t="s">
        <v>955</v>
      </c>
      <c r="C76" s="23" t="s">
        <v>1069</v>
      </c>
      <c r="D76" s="19" t="s">
        <v>85</v>
      </c>
      <c r="E76" s="9" t="s">
        <v>1070</v>
      </c>
      <c r="F76" s="9" t="s">
        <v>1071</v>
      </c>
      <c r="G76" s="9" t="s">
        <v>1072</v>
      </c>
      <c r="H76" s="9" t="s">
        <v>1073</v>
      </c>
      <c r="I76" s="9" t="s">
        <v>1043</v>
      </c>
      <c r="J76" s="25" t="n">
        <v>8</v>
      </c>
      <c r="K76" s="25" t="n">
        <v>8</v>
      </c>
      <c r="L76" s="26" t="n">
        <v>8</v>
      </c>
      <c r="M76" s="9" t="s">
        <v>1074</v>
      </c>
      <c r="N76" s="9" t="s">
        <v>558</v>
      </c>
    </row>
    <row r="77" customFormat="false" ht="35.05" hidden="false" customHeight="false" outlineLevel="0" collapsed="false">
      <c r="A77" s="9" t="s">
        <v>1075</v>
      </c>
      <c r="B77" s="9" t="s">
        <v>567</v>
      </c>
      <c r="C77" s="23" t="s">
        <v>1076</v>
      </c>
      <c r="D77" s="19" t="s">
        <v>85</v>
      </c>
      <c r="E77" s="9" t="s">
        <v>1077</v>
      </c>
      <c r="F77" s="9" t="s">
        <v>1078</v>
      </c>
      <c r="G77" s="9" t="s">
        <v>1079</v>
      </c>
      <c r="H77" s="9" t="s">
        <v>1080</v>
      </c>
      <c r="I77" s="9" t="s">
        <v>1059</v>
      </c>
      <c r="J77" s="25" t="n">
        <v>8</v>
      </c>
      <c r="K77" s="25" t="n">
        <v>8</v>
      </c>
      <c r="L77" s="26" t="n">
        <v>10</v>
      </c>
      <c r="M77" s="9" t="s">
        <v>1081</v>
      </c>
      <c r="N77" s="9" t="s">
        <v>558</v>
      </c>
    </row>
    <row r="78" customFormat="false" ht="23.85" hidden="false" customHeight="false" outlineLevel="0" collapsed="false">
      <c r="A78" s="9" t="s">
        <v>1082</v>
      </c>
      <c r="B78" s="9" t="s">
        <v>876</v>
      </c>
      <c r="C78" s="23" t="s">
        <v>1083</v>
      </c>
      <c r="D78" s="19" t="s">
        <v>85</v>
      </c>
      <c r="E78" s="9" t="s">
        <v>1084</v>
      </c>
      <c r="F78" s="9" t="s">
        <v>1085</v>
      </c>
      <c r="G78" s="9" t="s">
        <v>1086</v>
      </c>
      <c r="H78" s="9" t="s">
        <v>1087</v>
      </c>
      <c r="I78" s="9" t="s">
        <v>730</v>
      </c>
      <c r="J78" s="25" t="n">
        <v>8</v>
      </c>
      <c r="K78" s="25" t="n">
        <v>8</v>
      </c>
      <c r="L78" s="26" t="n">
        <v>4</v>
      </c>
      <c r="M78" s="9" t="s">
        <v>1088</v>
      </c>
      <c r="N78" s="9" t="s">
        <v>558</v>
      </c>
    </row>
    <row r="80" customFormat="false" ht="15" hidden="false" customHeight="false" outlineLevel="0" collapsed="false">
      <c r="A80" s="27" t="s">
        <v>1089</v>
      </c>
    </row>
  </sheetData>
  <autoFilter ref="A5:N78"/>
  <conditionalFormatting sqref="N6:N78">
    <cfRule type="cellIs" priority="2" operator="equal" aboveAverage="0" equalAverage="0" bottom="0" percent="0" rank="0" text="" dxfId="9">
      <formula>"Hoàn thành"</formula>
    </cfRule>
    <cfRule type="cellIs" priority="3" operator="equal" aboveAverage="0" equalAverage="0" bottom="0" percent="0" rank="0" text="" dxfId="10">
      <formula>"Bị chặn"</formula>
    </cfRule>
    <cfRule type="cellIs" priority="4" operator="equal" aboveAverage="0" equalAverage="0" bottom="0" percent="0" rank="0" text="" dxfId="11">
      <formula>"Đang làm"</formula>
    </cfRule>
  </conditionalFormatting>
  <dataValidations count="1">
    <dataValidation allowBlank="false" errorStyle="stop" operator="between" showDropDown="false" showErrorMessage="false" showInputMessage="false" sqref="N6:N78" type="list">
      <formula1>"Chưa bắt đầu,Đang làm,Chờ review,Bị chặn,Hoàn thành"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32"/>
    <col collapsed="false" customWidth="true" hidden="false" outlineLevel="0" max="4" min="4" style="0" width="52"/>
    <col collapsed="false" customWidth="true" hidden="false" outlineLevel="0" max="5" min="5" style="0" width="66"/>
    <col collapsed="false" customWidth="true" hidden="false" outlineLevel="0" max="6" min="6" style="0" width="10"/>
    <col collapsed="false" customWidth="true" hidden="false" outlineLevel="0" max="8" min="7" style="0" width="12"/>
  </cols>
  <sheetData>
    <row r="1" customFormat="false" ht="25.5" hidden="false" customHeight="true" outlineLevel="0" collapsed="false">
      <c r="A1" s="1" t="s">
        <v>1090</v>
      </c>
    </row>
    <row r="2" customFormat="false" ht="15" hidden="false" customHeight="false" outlineLevel="0" collapsed="false">
      <c r="A2" s="2" t="s">
        <v>1091</v>
      </c>
    </row>
    <row r="3" customFormat="false" ht="15" hidden="false" customHeight="false" outlineLevel="0" collapsed="false">
      <c r="A3" s="3"/>
      <c r="B3" s="3"/>
      <c r="C3" s="3"/>
      <c r="D3" s="3"/>
      <c r="E3" s="3"/>
      <c r="F3" s="3"/>
      <c r="G3" s="3"/>
      <c r="H3" s="3"/>
    </row>
    <row r="5" customFormat="false" ht="30" hidden="false" customHeight="true" outlineLevel="0" collapsed="false">
      <c r="A5" s="8" t="s">
        <v>1092</v>
      </c>
      <c r="B5" s="8" t="s">
        <v>1093</v>
      </c>
      <c r="C5" s="8" t="s">
        <v>255</v>
      </c>
      <c r="D5" s="8" t="s">
        <v>1094</v>
      </c>
      <c r="E5" s="8" t="s">
        <v>1095</v>
      </c>
      <c r="F5" s="8" t="s">
        <v>1096</v>
      </c>
      <c r="G5" s="8" t="s">
        <v>1097</v>
      </c>
      <c r="H5" s="8" t="s">
        <v>1098</v>
      </c>
    </row>
    <row r="6" customFormat="false" ht="15" hidden="false" customHeight="false" outlineLevel="0" collapsed="false">
      <c r="A6" s="9" t="s">
        <v>1099</v>
      </c>
      <c r="B6" s="9" t="s">
        <v>1100</v>
      </c>
      <c r="C6" s="9" t="s">
        <v>1101</v>
      </c>
      <c r="D6" s="9" t="s">
        <v>556</v>
      </c>
      <c r="E6" s="9" t="s">
        <v>1102</v>
      </c>
      <c r="F6" s="16" t="s">
        <v>82</v>
      </c>
      <c r="G6" s="9" t="s">
        <v>875</v>
      </c>
      <c r="H6" s="9" t="s">
        <v>1103</v>
      </c>
    </row>
    <row r="7" customFormat="false" ht="15" hidden="false" customHeight="false" outlineLevel="0" collapsed="false">
      <c r="A7" s="9" t="s">
        <v>1099</v>
      </c>
      <c r="B7" s="9" t="s">
        <v>1104</v>
      </c>
      <c r="C7" s="9" t="s">
        <v>1105</v>
      </c>
      <c r="D7" s="9" t="s">
        <v>556</v>
      </c>
      <c r="E7" s="9" t="s">
        <v>1106</v>
      </c>
      <c r="F7" s="16" t="s">
        <v>82</v>
      </c>
      <c r="G7" s="9" t="s">
        <v>906</v>
      </c>
      <c r="H7" s="9" t="s">
        <v>1103</v>
      </c>
    </row>
    <row r="8" customFormat="false" ht="15" hidden="false" customHeight="false" outlineLevel="0" collapsed="false">
      <c r="A8" s="9" t="s">
        <v>1099</v>
      </c>
      <c r="B8" s="9" t="s">
        <v>1107</v>
      </c>
      <c r="C8" s="9" t="s">
        <v>1108</v>
      </c>
      <c r="D8" s="9" t="s">
        <v>1109</v>
      </c>
      <c r="E8" s="9" t="s">
        <v>1110</v>
      </c>
      <c r="F8" s="16" t="s">
        <v>82</v>
      </c>
      <c r="G8" s="9" t="s">
        <v>906</v>
      </c>
      <c r="H8" s="9" t="s">
        <v>1103</v>
      </c>
    </row>
    <row r="9" customFormat="false" ht="15" hidden="false" customHeight="false" outlineLevel="0" collapsed="false">
      <c r="A9" s="9" t="s">
        <v>1099</v>
      </c>
      <c r="B9" s="9" t="s">
        <v>1111</v>
      </c>
      <c r="C9" s="9" t="s">
        <v>1112</v>
      </c>
      <c r="D9" s="9" t="s">
        <v>1113</v>
      </c>
      <c r="E9" s="9" t="s">
        <v>1114</v>
      </c>
      <c r="F9" s="16" t="s">
        <v>82</v>
      </c>
      <c r="G9" s="9" t="s">
        <v>906</v>
      </c>
      <c r="H9" s="9" t="s">
        <v>1103</v>
      </c>
    </row>
    <row r="10" customFormat="false" ht="15" hidden="false" customHeight="false" outlineLevel="0" collapsed="false">
      <c r="A10" s="9" t="s">
        <v>1099</v>
      </c>
      <c r="B10" s="9" t="s">
        <v>1115</v>
      </c>
      <c r="C10" s="9" t="s">
        <v>1116</v>
      </c>
      <c r="D10" s="9" t="s">
        <v>556</v>
      </c>
      <c r="E10" s="9" t="s">
        <v>1117</v>
      </c>
      <c r="F10" s="16" t="s">
        <v>82</v>
      </c>
      <c r="G10" s="9" t="s">
        <v>906</v>
      </c>
      <c r="H10" s="9" t="s">
        <v>1103</v>
      </c>
    </row>
    <row r="11" customFormat="false" ht="15" hidden="false" customHeight="false" outlineLevel="0" collapsed="false">
      <c r="A11" s="9" t="s">
        <v>1099</v>
      </c>
      <c r="B11" s="9" t="s">
        <v>1118</v>
      </c>
      <c r="C11" s="9" t="s">
        <v>1119</v>
      </c>
      <c r="D11" s="9" t="s">
        <v>1120</v>
      </c>
      <c r="E11" s="9" t="s">
        <v>1121</v>
      </c>
      <c r="F11" s="16" t="s">
        <v>82</v>
      </c>
      <c r="G11" s="9" t="s">
        <v>915</v>
      </c>
      <c r="H11" s="9" t="s">
        <v>1103</v>
      </c>
    </row>
    <row r="12" customFormat="false" ht="15" hidden="false" customHeight="false" outlineLevel="0" collapsed="false">
      <c r="A12" s="9" t="s">
        <v>1099</v>
      </c>
      <c r="B12" s="9" t="s">
        <v>1122</v>
      </c>
      <c r="C12" s="9" t="s">
        <v>1123</v>
      </c>
      <c r="D12" s="9" t="s">
        <v>1124</v>
      </c>
      <c r="E12" s="9" t="s">
        <v>1125</v>
      </c>
      <c r="F12" s="16" t="s">
        <v>82</v>
      </c>
      <c r="G12" s="9" t="s">
        <v>915</v>
      </c>
      <c r="H12" s="9" t="s">
        <v>1103</v>
      </c>
    </row>
    <row r="13" customFormat="false" ht="15" hidden="false" customHeight="false" outlineLevel="0" collapsed="false">
      <c r="A13" s="9" t="s">
        <v>1099</v>
      </c>
      <c r="B13" s="9" t="s">
        <v>1126</v>
      </c>
      <c r="C13" s="9" t="s">
        <v>1127</v>
      </c>
      <c r="D13" s="9" t="s">
        <v>1124</v>
      </c>
      <c r="E13" s="9" t="s">
        <v>1128</v>
      </c>
      <c r="F13" s="16" t="s">
        <v>82</v>
      </c>
      <c r="G13" s="9" t="s">
        <v>915</v>
      </c>
      <c r="H13" s="9" t="s">
        <v>1103</v>
      </c>
    </row>
    <row r="14" customFormat="false" ht="15" hidden="false" customHeight="false" outlineLevel="0" collapsed="false">
      <c r="A14" s="9" t="s">
        <v>1099</v>
      </c>
      <c r="B14" s="9" t="s">
        <v>1129</v>
      </c>
      <c r="C14" s="9" t="s">
        <v>1130</v>
      </c>
      <c r="D14" s="9" t="s">
        <v>1124</v>
      </c>
      <c r="E14" s="9" t="s">
        <v>1131</v>
      </c>
      <c r="F14" s="16" t="s">
        <v>82</v>
      </c>
      <c r="G14" s="9" t="s">
        <v>915</v>
      </c>
      <c r="H14" s="9" t="s">
        <v>1103</v>
      </c>
    </row>
    <row r="15" customFormat="false" ht="15" hidden="false" customHeight="false" outlineLevel="0" collapsed="false">
      <c r="A15" s="9" t="s">
        <v>1099</v>
      </c>
      <c r="B15" s="9" t="s">
        <v>1132</v>
      </c>
      <c r="C15" s="9" t="s">
        <v>1133</v>
      </c>
      <c r="D15" s="9" t="s">
        <v>1134</v>
      </c>
      <c r="E15" s="9" t="s">
        <v>1135</v>
      </c>
      <c r="F15" s="16" t="s">
        <v>82</v>
      </c>
      <c r="G15" s="9" t="s">
        <v>923</v>
      </c>
      <c r="H15" s="9" t="s">
        <v>1103</v>
      </c>
    </row>
    <row r="16" customFormat="false" ht="15" hidden="false" customHeight="false" outlineLevel="0" collapsed="false">
      <c r="A16" s="9" t="s">
        <v>1136</v>
      </c>
      <c r="B16" s="9" t="s">
        <v>1137</v>
      </c>
      <c r="C16" s="9" t="s">
        <v>1138</v>
      </c>
      <c r="D16" s="9" t="s">
        <v>1139</v>
      </c>
      <c r="E16" s="9" t="s">
        <v>1140</v>
      </c>
      <c r="F16" s="17" t="s">
        <v>83</v>
      </c>
      <c r="G16" s="9" t="s">
        <v>930</v>
      </c>
      <c r="H16" s="9" t="s">
        <v>1141</v>
      </c>
    </row>
    <row r="17" customFormat="false" ht="15" hidden="false" customHeight="false" outlineLevel="0" collapsed="false">
      <c r="A17" s="9" t="s">
        <v>1099</v>
      </c>
      <c r="B17" s="9" t="s">
        <v>1142</v>
      </c>
      <c r="C17" s="9" t="s">
        <v>1143</v>
      </c>
      <c r="D17" s="9" t="s">
        <v>1144</v>
      </c>
      <c r="E17" s="9" t="s">
        <v>1145</v>
      </c>
      <c r="F17" s="17" t="s">
        <v>83</v>
      </c>
      <c r="G17" s="9" t="s">
        <v>930</v>
      </c>
      <c r="H17" s="9" t="s">
        <v>1141</v>
      </c>
    </row>
    <row r="18" customFormat="false" ht="15" hidden="false" customHeight="false" outlineLevel="0" collapsed="false">
      <c r="A18" s="9" t="s">
        <v>1099</v>
      </c>
      <c r="B18" s="9" t="s">
        <v>1146</v>
      </c>
      <c r="C18" s="9" t="s">
        <v>767</v>
      </c>
      <c r="D18" s="9" t="s">
        <v>1147</v>
      </c>
      <c r="E18" s="9" t="s">
        <v>1148</v>
      </c>
      <c r="F18" s="17" t="s">
        <v>83</v>
      </c>
      <c r="G18" s="9" t="s">
        <v>930</v>
      </c>
      <c r="H18" s="9" t="s">
        <v>1141</v>
      </c>
    </row>
    <row r="19" customFormat="false" ht="15" hidden="false" customHeight="false" outlineLevel="0" collapsed="false">
      <c r="A19" s="9" t="s">
        <v>1099</v>
      </c>
      <c r="B19" s="9" t="s">
        <v>1149</v>
      </c>
      <c r="C19" s="9" t="s">
        <v>1150</v>
      </c>
      <c r="D19" s="9" t="s">
        <v>1151</v>
      </c>
      <c r="E19" s="9" t="s">
        <v>1152</v>
      </c>
      <c r="F19" s="17" t="s">
        <v>83</v>
      </c>
      <c r="G19" s="9" t="s">
        <v>939</v>
      </c>
      <c r="H19" s="9" t="s">
        <v>1141</v>
      </c>
    </row>
    <row r="20" customFormat="false" ht="15" hidden="false" customHeight="false" outlineLevel="0" collapsed="false">
      <c r="A20" s="9" t="s">
        <v>1099</v>
      </c>
      <c r="B20" s="9" t="s">
        <v>1153</v>
      </c>
      <c r="C20" s="9" t="s">
        <v>1154</v>
      </c>
      <c r="D20" s="9" t="s">
        <v>1155</v>
      </c>
      <c r="E20" s="9" t="s">
        <v>1156</v>
      </c>
      <c r="F20" s="17" t="s">
        <v>83</v>
      </c>
      <c r="G20" s="9" t="s">
        <v>939</v>
      </c>
      <c r="H20" s="9" t="s">
        <v>1141</v>
      </c>
    </row>
    <row r="21" customFormat="false" ht="15" hidden="false" customHeight="false" outlineLevel="0" collapsed="false">
      <c r="A21" s="9" t="s">
        <v>1099</v>
      </c>
      <c r="B21" s="9" t="s">
        <v>1157</v>
      </c>
      <c r="C21" s="9" t="s">
        <v>1158</v>
      </c>
      <c r="D21" s="9" t="s">
        <v>1151</v>
      </c>
      <c r="E21" s="9" t="s">
        <v>1159</v>
      </c>
      <c r="F21" s="17" t="s">
        <v>83</v>
      </c>
      <c r="G21" s="9" t="s">
        <v>939</v>
      </c>
      <c r="H21" s="9" t="s">
        <v>1141</v>
      </c>
    </row>
    <row r="22" customFormat="false" ht="15" hidden="false" customHeight="false" outlineLevel="0" collapsed="false">
      <c r="A22" s="9" t="s">
        <v>1099</v>
      </c>
      <c r="B22" s="9" t="s">
        <v>1160</v>
      </c>
      <c r="C22" s="9" t="s">
        <v>1161</v>
      </c>
      <c r="D22" s="9" t="s">
        <v>1162</v>
      </c>
      <c r="E22" s="9" t="s">
        <v>1163</v>
      </c>
      <c r="F22" s="17" t="s">
        <v>83</v>
      </c>
      <c r="G22" s="9" t="s">
        <v>946</v>
      </c>
      <c r="H22" s="9" t="s">
        <v>1141</v>
      </c>
    </row>
    <row r="23" customFormat="false" ht="15" hidden="false" customHeight="false" outlineLevel="0" collapsed="false">
      <c r="A23" s="9" t="s">
        <v>1099</v>
      </c>
      <c r="B23" s="9" t="s">
        <v>1164</v>
      </c>
      <c r="C23" s="9" t="s">
        <v>1165</v>
      </c>
      <c r="D23" s="9" t="s">
        <v>1151</v>
      </c>
      <c r="E23" s="9" t="s">
        <v>1166</v>
      </c>
      <c r="F23" s="17" t="s">
        <v>83</v>
      </c>
      <c r="G23" s="9" t="s">
        <v>939</v>
      </c>
      <c r="H23" s="9" t="s">
        <v>1141</v>
      </c>
    </row>
    <row r="24" customFormat="false" ht="23.85" hidden="false" customHeight="false" outlineLevel="0" collapsed="false">
      <c r="A24" s="9" t="s">
        <v>1136</v>
      </c>
      <c r="B24" s="9" t="s">
        <v>1167</v>
      </c>
      <c r="C24" s="9" t="s">
        <v>1168</v>
      </c>
      <c r="D24" s="9" t="s">
        <v>1169</v>
      </c>
      <c r="E24" s="9" t="s">
        <v>1140</v>
      </c>
      <c r="F24" s="17" t="s">
        <v>83</v>
      </c>
      <c r="G24" s="9" t="s">
        <v>994</v>
      </c>
      <c r="H24" s="9" t="s">
        <v>1141</v>
      </c>
    </row>
    <row r="25" customFormat="false" ht="15" hidden="false" customHeight="false" outlineLevel="0" collapsed="false">
      <c r="A25" s="9" t="s">
        <v>1099</v>
      </c>
      <c r="B25" s="9" t="s">
        <v>1170</v>
      </c>
      <c r="C25" s="9" t="s">
        <v>518</v>
      </c>
      <c r="D25" s="9" t="s">
        <v>1151</v>
      </c>
      <c r="E25" s="9" t="s">
        <v>1171</v>
      </c>
      <c r="F25" s="17" t="s">
        <v>83</v>
      </c>
      <c r="G25" s="9" t="s">
        <v>1019</v>
      </c>
      <c r="H25" s="9" t="s">
        <v>1141</v>
      </c>
    </row>
    <row r="26" customFormat="false" ht="15" hidden="false" customHeight="false" outlineLevel="0" collapsed="false">
      <c r="A26" s="9" t="s">
        <v>1099</v>
      </c>
      <c r="B26" s="9" t="s">
        <v>1172</v>
      </c>
      <c r="C26" s="9" t="s">
        <v>1173</v>
      </c>
      <c r="D26" s="9" t="s">
        <v>1151</v>
      </c>
      <c r="E26" s="9" t="s">
        <v>1174</v>
      </c>
      <c r="F26" s="17" t="s">
        <v>83</v>
      </c>
      <c r="G26" s="9" t="s">
        <v>1010</v>
      </c>
      <c r="H26" s="9" t="s">
        <v>1141</v>
      </c>
    </row>
    <row r="27" customFormat="false" ht="23.85" hidden="false" customHeight="false" outlineLevel="0" collapsed="false">
      <c r="A27" s="9" t="s">
        <v>1136</v>
      </c>
      <c r="B27" s="9" t="s">
        <v>1175</v>
      </c>
      <c r="C27" s="9" t="s">
        <v>1176</v>
      </c>
      <c r="D27" s="9" t="s">
        <v>1177</v>
      </c>
      <c r="E27" s="9" t="s">
        <v>1140</v>
      </c>
      <c r="F27" s="17" t="s">
        <v>83</v>
      </c>
      <c r="G27" s="9" t="s">
        <v>994</v>
      </c>
      <c r="H27" s="9" t="s">
        <v>1141</v>
      </c>
    </row>
    <row r="28" customFormat="false" ht="15" hidden="false" customHeight="false" outlineLevel="0" collapsed="false">
      <c r="A28" s="9" t="s">
        <v>1099</v>
      </c>
      <c r="B28" s="9" t="s">
        <v>1178</v>
      </c>
      <c r="C28" s="9" t="s">
        <v>842</v>
      </c>
      <c r="D28" s="9" t="s">
        <v>1179</v>
      </c>
      <c r="E28" s="9" t="s">
        <v>1180</v>
      </c>
      <c r="F28" s="17" t="s">
        <v>83</v>
      </c>
      <c r="G28" s="9" t="s">
        <v>1028</v>
      </c>
      <c r="H28" s="9" t="s">
        <v>1141</v>
      </c>
    </row>
    <row r="29" customFormat="false" ht="15" hidden="false" customHeight="false" outlineLevel="0" collapsed="false">
      <c r="A29" s="9" t="s">
        <v>1099</v>
      </c>
      <c r="B29" s="9" t="s">
        <v>1181</v>
      </c>
      <c r="C29" s="9" t="s">
        <v>1182</v>
      </c>
      <c r="D29" s="9" t="s">
        <v>556</v>
      </c>
      <c r="E29" s="9" t="s">
        <v>1183</v>
      </c>
      <c r="F29" s="17" t="s">
        <v>83</v>
      </c>
      <c r="G29" s="9" t="s">
        <v>1036</v>
      </c>
      <c r="H29" s="9" t="s">
        <v>1141</v>
      </c>
    </row>
    <row r="30" customFormat="false" ht="15" hidden="false" customHeight="false" outlineLevel="0" collapsed="false">
      <c r="A30" s="9" t="s">
        <v>1099</v>
      </c>
      <c r="B30" s="9" t="s">
        <v>1184</v>
      </c>
      <c r="C30" s="9" t="s">
        <v>1185</v>
      </c>
      <c r="D30" s="9" t="s">
        <v>1186</v>
      </c>
      <c r="E30" s="9" t="s">
        <v>1187</v>
      </c>
      <c r="F30" s="17" t="s">
        <v>83</v>
      </c>
      <c r="G30" s="9" t="s">
        <v>1036</v>
      </c>
      <c r="H30" s="9" t="s">
        <v>1141</v>
      </c>
    </row>
    <row r="31" customFormat="false" ht="15" hidden="false" customHeight="false" outlineLevel="0" collapsed="false">
      <c r="A31" s="9" t="s">
        <v>1099</v>
      </c>
      <c r="B31" s="9" t="s">
        <v>1188</v>
      </c>
      <c r="C31" s="9" t="s">
        <v>528</v>
      </c>
      <c r="D31" s="9" t="s">
        <v>556</v>
      </c>
      <c r="E31" s="9" t="s">
        <v>1189</v>
      </c>
      <c r="F31" s="17" t="s">
        <v>83</v>
      </c>
      <c r="G31" s="9" t="s">
        <v>1043</v>
      </c>
      <c r="H31" s="9" t="s">
        <v>1141</v>
      </c>
    </row>
    <row r="32" customFormat="false" ht="15" hidden="false" customHeight="false" outlineLevel="0" collapsed="false">
      <c r="A32" s="9" t="s">
        <v>1099</v>
      </c>
      <c r="B32" s="9" t="s">
        <v>1190</v>
      </c>
      <c r="C32" s="9" t="s">
        <v>1191</v>
      </c>
      <c r="D32" s="9" t="s">
        <v>1151</v>
      </c>
      <c r="E32" s="9" t="s">
        <v>1192</v>
      </c>
      <c r="F32" s="17" t="s">
        <v>83</v>
      </c>
      <c r="G32" s="9" t="s">
        <v>1051</v>
      </c>
      <c r="H32" s="9" t="s">
        <v>1141</v>
      </c>
    </row>
    <row r="33" customFormat="false" ht="15" hidden="false" customHeight="false" outlineLevel="0" collapsed="false">
      <c r="A33" s="9" t="s">
        <v>1099</v>
      </c>
      <c r="B33" s="9" t="s">
        <v>1193</v>
      </c>
      <c r="C33" s="9" t="s">
        <v>1194</v>
      </c>
      <c r="D33" s="9" t="s">
        <v>556</v>
      </c>
      <c r="E33" s="9" t="s">
        <v>1195</v>
      </c>
      <c r="F33" s="17" t="s">
        <v>83</v>
      </c>
      <c r="G33" s="9" t="s">
        <v>1003</v>
      </c>
      <c r="H33" s="9" t="s">
        <v>1141</v>
      </c>
    </row>
    <row r="34" customFormat="false" ht="15" hidden="false" customHeight="false" outlineLevel="0" collapsed="false">
      <c r="A34" s="9" t="s">
        <v>1099</v>
      </c>
      <c r="B34" s="9" t="s">
        <v>1196</v>
      </c>
      <c r="C34" s="9" t="s">
        <v>1197</v>
      </c>
      <c r="D34" s="9" t="s">
        <v>1198</v>
      </c>
      <c r="E34" s="9" t="s">
        <v>1199</v>
      </c>
      <c r="F34" s="17" t="s">
        <v>83</v>
      </c>
      <c r="G34" s="9" t="s">
        <v>1068</v>
      </c>
      <c r="H34" s="9" t="s">
        <v>1141</v>
      </c>
    </row>
    <row r="36" customFormat="false" ht="15" hidden="false" customHeight="false" outlineLevel="0" collapsed="false">
      <c r="A36" s="27" t="s">
        <v>1200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3"/>
    <col collapsed="false" customWidth="true" hidden="false" outlineLevel="0" max="11" min="11" style="0" width="60"/>
  </cols>
  <sheetData>
    <row r="1" customFormat="false" ht="25.5" hidden="false" customHeight="true" outlineLevel="0" collapsed="false">
      <c r="A1" s="1" t="s">
        <v>1201</v>
      </c>
    </row>
    <row r="2" customFormat="false" ht="15" hidden="false" customHeight="false" outlineLevel="0" collapsed="false">
      <c r="A2" s="2" t="s">
        <v>1202</v>
      </c>
    </row>
    <row r="3" customFormat="false" ht="15" hidden="false" customHeight="false" outlineLevel="0" collapsed="false">
      <c r="A3" s="3"/>
      <c r="B3" s="3"/>
      <c r="C3" s="3"/>
      <c r="D3" s="3"/>
      <c r="E3" s="3"/>
      <c r="F3" s="3"/>
      <c r="G3" s="3"/>
      <c r="H3" s="3"/>
      <c r="I3" s="3"/>
      <c r="J3" s="3"/>
      <c r="K3" s="3"/>
    </row>
    <row r="5" customFormat="false" ht="15" hidden="false" customHeight="false" outlineLevel="0" collapsed="false">
      <c r="A5" s="10" t="s">
        <v>1203</v>
      </c>
      <c r="B5" s="28" t="n">
        <v>8</v>
      </c>
      <c r="C5" s="27" t="s">
        <v>1204</v>
      </c>
    </row>
    <row r="7" customFormat="false" ht="15" hidden="false" customHeight="false" outlineLevel="0" collapsed="false">
      <c r="A7" s="4" t="s">
        <v>1205</v>
      </c>
      <c r="B7" s="5"/>
      <c r="C7" s="5"/>
      <c r="D7" s="5"/>
      <c r="E7" s="5"/>
      <c r="F7" s="5"/>
      <c r="G7" s="5"/>
      <c r="H7" s="5"/>
      <c r="I7" s="5"/>
      <c r="J7" s="5"/>
      <c r="K7" s="5"/>
    </row>
    <row r="8" customFormat="false" ht="30" hidden="false" customHeight="true" outlineLevel="0" collapsed="false">
      <c r="A8" s="8" t="s">
        <v>1206</v>
      </c>
      <c r="B8" s="8" t="s">
        <v>89</v>
      </c>
      <c r="C8" s="8" t="s">
        <v>1207</v>
      </c>
      <c r="D8" s="8" t="s">
        <v>1208</v>
      </c>
      <c r="E8" s="8" t="s">
        <v>1209</v>
      </c>
      <c r="F8" s="8" t="s">
        <v>1210</v>
      </c>
      <c r="G8" s="8" t="s">
        <v>1211</v>
      </c>
      <c r="H8" s="8" t="s">
        <v>1212</v>
      </c>
      <c r="I8" s="8" t="s">
        <v>1213</v>
      </c>
      <c r="J8" s="8" t="s">
        <v>1214</v>
      </c>
    </row>
    <row r="9" customFormat="false" ht="15" hidden="false" customHeight="false" outlineLevel="0" collapsed="false">
      <c r="A9" s="29" t="s">
        <v>82</v>
      </c>
      <c r="B9" s="30" t="s">
        <v>96</v>
      </c>
      <c r="C9" s="30" t="n">
        <f aca="false">COUNTIFS(6_PhanCongChiTiet!$D$6:$D$78,A9)</f>
        <v>22</v>
      </c>
      <c r="D9" s="30" t="n">
        <f aca="false">SUMIFS(6_PhanCongChiTiet!$L$6:$L$78,6_PhanCongChiTiet!$D$6:$D$78,A9)</f>
        <v>196</v>
      </c>
      <c r="E9" s="30" t="n">
        <f aca="false">SUMIFS(6_PhanCongChiTiet!$L$6:$L$78,6_PhanCongChiTiet!$D$6:$D$78,"ALL")</f>
        <v>40</v>
      </c>
      <c r="F9" s="30" t="n">
        <f aca="false">D9+E9</f>
        <v>236</v>
      </c>
      <c r="G9" s="31" t="n">
        <f aca="false">IFERROR(F9/$B$5,0)</f>
        <v>29.5</v>
      </c>
      <c r="H9" s="30" t="n">
        <f aca="false">COUNTIFS(6_PhanCongChiTiet!$D$6:$D$78,A9,6_PhanCongChiTiet!$N$6:$N$78,"Hoàn thành")+COUNTIFS(6_PhanCongChiTiet!$D$6:$D$78,"ALL",6_PhanCongChiTiet!$N$6:$N$78,"Hoàn thành")</f>
        <v>0</v>
      </c>
      <c r="I9" s="32" t="n">
        <f aca="false">IFERROR(H9/(C9+COUNTIFS(6_PhanCongChiTiet!$D$6:$D$78,"ALL")),0)</f>
        <v>0</v>
      </c>
      <c r="J9" s="30" t="n">
        <f aca="false">COUNTIFS(6_PhanCongChiTiet!$D$6:$D$78,A9,6_PhanCongChiTiet!$N$6:$N$78,"Bị chặn")</f>
        <v>0</v>
      </c>
    </row>
    <row r="10" customFormat="false" ht="15" hidden="false" customHeight="false" outlineLevel="0" collapsed="false">
      <c r="A10" s="33" t="s">
        <v>83</v>
      </c>
      <c r="B10" s="30" t="s">
        <v>103</v>
      </c>
      <c r="C10" s="30" t="n">
        <f aca="false">COUNTIFS(6_PhanCongChiTiet!$D$6:$D$78,A10)</f>
        <v>20</v>
      </c>
      <c r="D10" s="30" t="n">
        <f aca="false">SUMIFS(6_PhanCongChiTiet!$L$6:$L$78,6_PhanCongChiTiet!$D$6:$D$78,A10)</f>
        <v>206</v>
      </c>
      <c r="E10" s="30" t="n">
        <f aca="false">SUMIFS(6_PhanCongChiTiet!$L$6:$L$78,6_PhanCongChiTiet!$D$6:$D$78,"ALL")</f>
        <v>40</v>
      </c>
      <c r="F10" s="30" t="n">
        <f aca="false">D10+E10</f>
        <v>246</v>
      </c>
      <c r="G10" s="31" t="n">
        <f aca="false">IFERROR(F10/$B$5,0)</f>
        <v>30.75</v>
      </c>
      <c r="H10" s="30" t="n">
        <f aca="false">COUNTIFS(6_PhanCongChiTiet!$D$6:$D$78,A10,6_PhanCongChiTiet!$N$6:$N$78,"Hoàn thành")+COUNTIFS(6_PhanCongChiTiet!$D$6:$D$78,"ALL",6_PhanCongChiTiet!$N$6:$N$78,"Hoàn thành")</f>
        <v>0</v>
      </c>
      <c r="I10" s="32" t="n">
        <f aca="false">IFERROR(H10/(C10+COUNTIFS(6_PhanCongChiTiet!$D$6:$D$78,"ALL")),0)</f>
        <v>0</v>
      </c>
      <c r="J10" s="30" t="n">
        <f aca="false">COUNTIFS(6_PhanCongChiTiet!$D$6:$D$78,A10,6_PhanCongChiTiet!$N$6:$N$78,"Bị chặn")</f>
        <v>0</v>
      </c>
    </row>
    <row r="11" customFormat="false" ht="15" hidden="false" customHeight="false" outlineLevel="0" collapsed="false">
      <c r="A11" s="34" t="s">
        <v>84</v>
      </c>
      <c r="B11" s="30" t="s">
        <v>1215</v>
      </c>
      <c r="C11" s="30" t="n">
        <f aca="false">COUNTIFS(6_PhanCongChiTiet!$D$6:$D$78,A11)</f>
        <v>13</v>
      </c>
      <c r="D11" s="30" t="n">
        <f aca="false">SUMIFS(6_PhanCongChiTiet!$L$6:$L$78,6_PhanCongChiTiet!$D$6:$D$78,A11)</f>
        <v>140</v>
      </c>
      <c r="E11" s="30" t="n">
        <f aca="false">SUMIFS(6_PhanCongChiTiet!$L$6:$L$78,6_PhanCongChiTiet!$D$6:$D$78,"ALL")</f>
        <v>40</v>
      </c>
      <c r="F11" s="30" t="n">
        <f aca="false">D11+E11</f>
        <v>180</v>
      </c>
      <c r="G11" s="31" t="n">
        <f aca="false">IFERROR(F11/$B$5,0)</f>
        <v>22.5</v>
      </c>
      <c r="H11" s="30" t="n">
        <f aca="false">COUNTIFS(6_PhanCongChiTiet!$D$6:$D$78,A11,6_PhanCongChiTiet!$N$6:$N$78,"Hoàn thành")+COUNTIFS(6_PhanCongChiTiet!$D$6:$D$78,"ALL",6_PhanCongChiTiet!$N$6:$N$78,"Hoàn thành")</f>
        <v>0</v>
      </c>
      <c r="I11" s="32" t="n">
        <f aca="false">IFERROR(H11/(C11+COUNTIFS(6_PhanCongChiTiet!$D$6:$D$78,"ALL")),0)</f>
        <v>0</v>
      </c>
      <c r="J11" s="30" t="n">
        <f aca="false">COUNTIFS(6_PhanCongChiTiet!$D$6:$D$78,A11,6_PhanCongChiTiet!$N$6:$N$78,"Bị chặn")</f>
        <v>0</v>
      </c>
    </row>
    <row r="12" customFormat="false" ht="15" hidden="false" customHeight="false" outlineLevel="0" collapsed="false">
      <c r="A12" s="35" t="s">
        <v>85</v>
      </c>
      <c r="B12" s="30" t="s">
        <v>1216</v>
      </c>
      <c r="C12" s="30" t="n">
        <f aca="false">COUNTIFS(6_PhanCongChiTiet!$D$6:$D$78,A12)</f>
        <v>14</v>
      </c>
      <c r="D12" s="30" t="n">
        <f aca="false">SUMIFS(6_PhanCongChiTiet!$L$6:$L$78,6_PhanCongChiTiet!$D$6:$D$78,A12)</f>
        <v>140</v>
      </c>
      <c r="E12" s="30" t="n">
        <f aca="false">SUMIFS(6_PhanCongChiTiet!$L$6:$L$78,6_PhanCongChiTiet!$D$6:$D$78,"ALL")</f>
        <v>40</v>
      </c>
      <c r="F12" s="30" t="n">
        <f aca="false">D12+E12</f>
        <v>180</v>
      </c>
      <c r="G12" s="31" t="n">
        <f aca="false">IFERROR(F12/$B$5,0)</f>
        <v>22.5</v>
      </c>
      <c r="H12" s="30" t="n">
        <f aca="false">COUNTIFS(6_PhanCongChiTiet!$D$6:$D$78,A12,6_PhanCongChiTiet!$N$6:$N$78,"Hoàn thành")+COUNTIFS(6_PhanCongChiTiet!$D$6:$D$78,"ALL",6_PhanCongChiTiet!$N$6:$N$78,"Hoàn thành")</f>
        <v>0</v>
      </c>
      <c r="I12" s="32" t="n">
        <f aca="false">IFERROR(H12/(C12+COUNTIFS(6_PhanCongChiTiet!$D$6:$D$78,"ALL")),0)</f>
        <v>0</v>
      </c>
      <c r="J12" s="30" t="n">
        <f aca="false">COUNTIFS(6_PhanCongChiTiet!$D$6:$D$78,A12,6_PhanCongChiTiet!$N$6:$N$78,"Bị chặn")</f>
        <v>0</v>
      </c>
    </row>
    <row r="13" customFormat="false" ht="15" hidden="false" customHeight="false" outlineLevel="0" collapsed="false">
      <c r="A13" s="10" t="s">
        <v>1217</v>
      </c>
      <c r="C13" s="36" t="n">
        <f aca="false">SUM(C9:C12)</f>
        <v>69</v>
      </c>
      <c r="D13" s="36" t="n">
        <f aca="false">SUM(D9:D12)</f>
        <v>682</v>
      </c>
      <c r="E13" s="27" t="s">
        <v>1218</v>
      </c>
      <c r="F13" s="36" t="n">
        <f aca="false">SUM(F9:F12)</f>
        <v>842</v>
      </c>
      <c r="H13" s="36" t="n">
        <f aca="false">SUM(H9:H12)</f>
        <v>0</v>
      </c>
      <c r="J13" s="36" t="n">
        <f aca="false">SUM(J9:J12)</f>
        <v>0</v>
      </c>
    </row>
    <row r="15" customFormat="false" ht="15" hidden="false" customHeight="false" outlineLevel="0" collapsed="false">
      <c r="A15" s="4" t="s">
        <v>1219</v>
      </c>
      <c r="B15" s="5"/>
      <c r="C15" s="5"/>
      <c r="D15" s="5"/>
      <c r="E15" s="5"/>
      <c r="F15" s="5"/>
      <c r="G15" s="5"/>
      <c r="H15" s="5"/>
      <c r="I15" s="5"/>
      <c r="J15" s="5"/>
      <c r="K15" s="5"/>
    </row>
    <row r="16" customFormat="false" ht="15" hidden="false" customHeight="false" outlineLevel="0" collapsed="false">
      <c r="A16" s="37" t="s">
        <v>1206</v>
      </c>
      <c r="B16" s="38" t="n">
        <v>1</v>
      </c>
      <c r="C16" s="38" t="n">
        <v>2</v>
      </c>
      <c r="D16" s="38" t="n">
        <v>3</v>
      </c>
      <c r="E16" s="38" t="n">
        <v>4</v>
      </c>
      <c r="F16" s="38" t="n">
        <v>5</v>
      </c>
      <c r="G16" s="38" t="n">
        <v>6</v>
      </c>
      <c r="H16" s="38" t="n">
        <v>7</v>
      </c>
      <c r="I16" s="38" t="n">
        <v>8</v>
      </c>
      <c r="J16" s="39" t="s">
        <v>1217</v>
      </c>
    </row>
    <row r="17" customFormat="false" ht="15" hidden="false" customHeight="false" outlineLevel="0" collapsed="false">
      <c r="A17" s="40" t="s">
        <v>82</v>
      </c>
      <c r="B17" s="41" t="n">
        <f aca="false">SUMPRODUCT(((6_PhanCongChiTiet!$D$6:$D$78=$A17)+(6_PhanCongChiTiet!$D$6:$D$78="ALL"))*(6_PhanCongChiTiet!$J$6:$J$78&lt;=B$16)*(6_PhanCongChiTiet!$K$6:$K$78&gt;=B$16)*6_PhanCongChiTiet!$L$6:$L$78/(6_PhanCongChiTiet!$K$6:$K$78-6_PhanCongChiTiet!$J$6:$J$78+1))</f>
        <v>26</v>
      </c>
      <c r="C17" s="41" t="n">
        <f aca="false">SUMPRODUCT(((6_PhanCongChiTiet!$D$6:$D$78=$A17)+(6_PhanCongChiTiet!$D$6:$D$78="ALL"))*(6_PhanCongChiTiet!$J$6:$J$78&lt;=C$16)*(6_PhanCongChiTiet!$K$6:$K$78&gt;=C$16)*6_PhanCongChiTiet!$L$6:$L$78/(6_PhanCongChiTiet!$K$6:$K$78-6_PhanCongChiTiet!$J$6:$J$78+1))</f>
        <v>48</v>
      </c>
      <c r="D17" s="41" t="n">
        <f aca="false">SUMPRODUCT(((6_PhanCongChiTiet!$D$6:$D$78=$A17)+(6_PhanCongChiTiet!$D$6:$D$78="ALL"))*(6_PhanCongChiTiet!$J$6:$J$78&lt;=D$16)*(6_PhanCongChiTiet!$K$6:$K$78&gt;=D$16)*6_PhanCongChiTiet!$L$6:$L$78/(6_PhanCongChiTiet!$K$6:$K$78-6_PhanCongChiTiet!$J$6:$J$78+1))</f>
        <v>52.6666666666667</v>
      </c>
      <c r="E17" s="41" t="n">
        <f aca="false">SUMPRODUCT(((6_PhanCongChiTiet!$D$6:$D$78=$A17)+(6_PhanCongChiTiet!$D$6:$D$78="ALL"))*(6_PhanCongChiTiet!$J$6:$J$78&lt;=E$16)*(6_PhanCongChiTiet!$K$6:$K$78&gt;=E$16)*6_PhanCongChiTiet!$L$6:$L$78/(6_PhanCongChiTiet!$K$6:$K$78-6_PhanCongChiTiet!$J$6:$J$78+1))</f>
        <v>45.6666666666667</v>
      </c>
      <c r="F17" s="41" t="n">
        <f aca="false">SUMPRODUCT(((6_PhanCongChiTiet!$D$6:$D$78=$A17)+(6_PhanCongChiTiet!$D$6:$D$78="ALL"))*(6_PhanCongChiTiet!$J$6:$J$78&lt;=F$16)*(6_PhanCongChiTiet!$K$6:$K$78&gt;=F$16)*6_PhanCongChiTiet!$L$6:$L$78/(6_PhanCongChiTiet!$K$6:$K$78-6_PhanCongChiTiet!$J$6:$J$78+1))</f>
        <v>25.6666666666667</v>
      </c>
      <c r="G17" s="41" t="n">
        <f aca="false">SUMPRODUCT(((6_PhanCongChiTiet!$D$6:$D$78=$A17)+(6_PhanCongChiTiet!$D$6:$D$78="ALL"))*(6_PhanCongChiTiet!$J$6:$J$78&lt;=G$16)*(6_PhanCongChiTiet!$K$6:$K$78&gt;=G$16)*6_PhanCongChiTiet!$L$6:$L$78/(6_PhanCongChiTiet!$K$6:$K$78-6_PhanCongChiTiet!$J$6:$J$78+1))</f>
        <v>2</v>
      </c>
      <c r="H17" s="41" t="n">
        <f aca="false">SUMPRODUCT(((6_PhanCongChiTiet!$D$6:$D$78=$A17)+(6_PhanCongChiTiet!$D$6:$D$78="ALL"))*(6_PhanCongChiTiet!$J$6:$J$78&lt;=H$16)*(6_PhanCongChiTiet!$K$6:$K$78&gt;=H$16)*6_PhanCongChiTiet!$L$6:$L$78/(6_PhanCongChiTiet!$K$6:$K$78-6_PhanCongChiTiet!$J$6:$J$78+1))</f>
        <v>18</v>
      </c>
      <c r="I17" s="41" t="n">
        <f aca="false">SUMPRODUCT(((6_PhanCongChiTiet!$D$6:$D$78=$A17)+(6_PhanCongChiTiet!$D$6:$D$78="ALL"))*(6_PhanCongChiTiet!$J$6:$J$78&lt;=I$16)*(6_PhanCongChiTiet!$K$6:$K$78&gt;=I$16)*6_PhanCongChiTiet!$L$6:$L$78/(6_PhanCongChiTiet!$K$6:$K$78-6_PhanCongChiTiet!$J$6:$J$78+1))</f>
        <v>18</v>
      </c>
      <c r="J17" s="42" t="n">
        <f aca="false">SUM(B17:I17)</f>
        <v>236</v>
      </c>
    </row>
    <row r="18" customFormat="false" ht="15" hidden="false" customHeight="false" outlineLevel="0" collapsed="false">
      <c r="A18" s="43" t="s">
        <v>83</v>
      </c>
      <c r="B18" s="41" t="n">
        <f aca="false">SUMPRODUCT(((6_PhanCongChiTiet!$D$6:$D$78=$A18)+(6_PhanCongChiTiet!$D$6:$D$78="ALL"))*(6_PhanCongChiTiet!$J$6:$J$78&lt;=B$16)*(6_PhanCongChiTiet!$K$6:$K$78&gt;=B$16)*6_PhanCongChiTiet!$L$6:$L$78/(6_PhanCongChiTiet!$K$6:$K$78-6_PhanCongChiTiet!$J$6:$J$78+1))</f>
        <v>12</v>
      </c>
      <c r="C18" s="41" t="n">
        <f aca="false">SUMPRODUCT(((6_PhanCongChiTiet!$D$6:$D$78=$A18)+(6_PhanCongChiTiet!$D$6:$D$78="ALL"))*(6_PhanCongChiTiet!$J$6:$J$78&lt;=C$16)*(6_PhanCongChiTiet!$K$6:$K$78&gt;=C$16)*6_PhanCongChiTiet!$L$6:$L$78/(6_PhanCongChiTiet!$K$6:$K$78-6_PhanCongChiTiet!$J$6:$J$78+1))</f>
        <v>2</v>
      </c>
      <c r="D18" s="41" t="n">
        <f aca="false">SUMPRODUCT(((6_PhanCongChiTiet!$D$6:$D$78=$A18)+(6_PhanCongChiTiet!$D$6:$D$78="ALL"))*(6_PhanCongChiTiet!$J$6:$J$78&lt;=D$16)*(6_PhanCongChiTiet!$K$6:$K$78&gt;=D$16)*6_PhanCongChiTiet!$L$6:$L$78/(6_PhanCongChiTiet!$K$6:$K$78-6_PhanCongChiTiet!$J$6:$J$78+1))</f>
        <v>18</v>
      </c>
      <c r="E18" s="41" t="n">
        <f aca="false">SUMPRODUCT(((6_PhanCongChiTiet!$D$6:$D$78=$A18)+(6_PhanCongChiTiet!$D$6:$D$78="ALL"))*(6_PhanCongChiTiet!$J$6:$J$78&lt;=E$16)*(6_PhanCongChiTiet!$K$6:$K$78&gt;=E$16)*6_PhanCongChiTiet!$L$6:$L$78/(6_PhanCongChiTiet!$K$6:$K$78-6_PhanCongChiTiet!$J$6:$J$78+1))</f>
        <v>24</v>
      </c>
      <c r="F18" s="41" t="n">
        <f aca="false">SUMPRODUCT(((6_PhanCongChiTiet!$D$6:$D$78=$A18)+(6_PhanCongChiTiet!$D$6:$D$78="ALL"))*(6_PhanCongChiTiet!$J$6:$J$78&lt;=F$16)*(6_PhanCongChiTiet!$K$6:$K$78&gt;=F$16)*6_PhanCongChiTiet!$L$6:$L$78/(6_PhanCongChiTiet!$K$6:$K$78-6_PhanCongChiTiet!$J$6:$J$78+1))</f>
        <v>66</v>
      </c>
      <c r="G18" s="41" t="n">
        <f aca="false">SUMPRODUCT(((6_PhanCongChiTiet!$D$6:$D$78=$A18)+(6_PhanCongChiTiet!$D$6:$D$78="ALL"))*(6_PhanCongChiTiet!$J$6:$J$78&lt;=G$16)*(6_PhanCongChiTiet!$K$6:$K$78&gt;=G$16)*6_PhanCongChiTiet!$L$6:$L$78/(6_PhanCongChiTiet!$K$6:$K$78-6_PhanCongChiTiet!$J$6:$J$78+1))</f>
        <v>42</v>
      </c>
      <c r="H18" s="41" t="n">
        <f aca="false">SUMPRODUCT(((6_PhanCongChiTiet!$D$6:$D$78=$A18)+(6_PhanCongChiTiet!$D$6:$D$78="ALL"))*(6_PhanCongChiTiet!$J$6:$J$78&lt;=H$16)*(6_PhanCongChiTiet!$K$6:$K$78&gt;=H$16)*6_PhanCongChiTiet!$L$6:$L$78/(6_PhanCongChiTiet!$K$6:$K$78-6_PhanCongChiTiet!$J$6:$J$78+1))</f>
        <v>56</v>
      </c>
      <c r="I18" s="41" t="n">
        <f aca="false">SUMPRODUCT(((6_PhanCongChiTiet!$D$6:$D$78=$A18)+(6_PhanCongChiTiet!$D$6:$D$78="ALL"))*(6_PhanCongChiTiet!$J$6:$J$78&lt;=I$16)*(6_PhanCongChiTiet!$K$6:$K$78&gt;=I$16)*6_PhanCongChiTiet!$L$6:$L$78/(6_PhanCongChiTiet!$K$6:$K$78-6_PhanCongChiTiet!$J$6:$J$78+1))</f>
        <v>26</v>
      </c>
      <c r="J18" s="42" t="n">
        <f aca="false">SUM(B18:I18)</f>
        <v>246</v>
      </c>
    </row>
    <row r="19" customFormat="false" ht="15" hidden="false" customHeight="false" outlineLevel="0" collapsed="false">
      <c r="A19" s="44" t="s">
        <v>84</v>
      </c>
      <c r="B19" s="41" t="n">
        <f aca="false">SUMPRODUCT(((6_PhanCongChiTiet!$D$6:$D$78=$A19)+(6_PhanCongChiTiet!$D$6:$D$78="ALL"))*(6_PhanCongChiTiet!$J$6:$J$78&lt;=B$16)*(6_PhanCongChiTiet!$K$6:$K$78&gt;=B$16)*6_PhanCongChiTiet!$L$6:$L$78/(6_PhanCongChiTiet!$K$6:$K$78-6_PhanCongChiTiet!$J$6:$J$78+1))</f>
        <v>19</v>
      </c>
      <c r="C19" s="41" t="n">
        <f aca="false">SUMPRODUCT(((6_PhanCongChiTiet!$D$6:$D$78=$A19)+(6_PhanCongChiTiet!$D$6:$D$78="ALL"))*(6_PhanCongChiTiet!$J$6:$J$78&lt;=C$16)*(6_PhanCongChiTiet!$K$6:$K$78&gt;=C$16)*6_PhanCongChiTiet!$L$6:$L$78/(6_PhanCongChiTiet!$K$6:$K$78-6_PhanCongChiTiet!$J$6:$J$78+1))</f>
        <v>25</v>
      </c>
      <c r="D19" s="41" t="n">
        <f aca="false">SUMPRODUCT(((6_PhanCongChiTiet!$D$6:$D$78=$A19)+(6_PhanCongChiTiet!$D$6:$D$78="ALL"))*(6_PhanCongChiTiet!$J$6:$J$78&lt;=D$16)*(6_PhanCongChiTiet!$K$6:$K$78&gt;=D$16)*6_PhanCongChiTiet!$L$6:$L$78/(6_PhanCongChiTiet!$K$6:$K$78-6_PhanCongChiTiet!$J$6:$J$78+1))</f>
        <v>16</v>
      </c>
      <c r="E19" s="41" t="n">
        <f aca="false">SUMPRODUCT(((6_PhanCongChiTiet!$D$6:$D$78=$A19)+(6_PhanCongChiTiet!$D$6:$D$78="ALL"))*(6_PhanCongChiTiet!$J$6:$J$78&lt;=E$16)*(6_PhanCongChiTiet!$K$6:$K$78&gt;=E$16)*6_PhanCongChiTiet!$L$6:$L$78/(6_PhanCongChiTiet!$K$6:$K$78-6_PhanCongChiTiet!$J$6:$J$78+1))</f>
        <v>26</v>
      </c>
      <c r="F19" s="41" t="n">
        <f aca="false">SUMPRODUCT(((6_PhanCongChiTiet!$D$6:$D$78=$A19)+(6_PhanCongChiTiet!$D$6:$D$78="ALL"))*(6_PhanCongChiTiet!$J$6:$J$78&lt;=F$16)*(6_PhanCongChiTiet!$K$6:$K$78&gt;=F$16)*6_PhanCongChiTiet!$L$6:$L$78/(6_PhanCongChiTiet!$K$6:$K$78-6_PhanCongChiTiet!$J$6:$J$78+1))</f>
        <v>27</v>
      </c>
      <c r="G19" s="41" t="n">
        <f aca="false">SUMPRODUCT(((6_PhanCongChiTiet!$D$6:$D$78=$A19)+(6_PhanCongChiTiet!$D$6:$D$78="ALL"))*(6_PhanCongChiTiet!$J$6:$J$78&lt;=G$16)*(6_PhanCongChiTiet!$K$6:$K$78&gt;=G$16)*6_PhanCongChiTiet!$L$6:$L$78/(6_PhanCongChiTiet!$K$6:$K$78-6_PhanCongChiTiet!$J$6:$J$78+1))</f>
        <v>23</v>
      </c>
      <c r="H19" s="41" t="n">
        <f aca="false">SUMPRODUCT(((6_PhanCongChiTiet!$D$6:$D$78=$A19)+(6_PhanCongChiTiet!$D$6:$D$78="ALL"))*(6_PhanCongChiTiet!$J$6:$J$78&lt;=H$16)*(6_PhanCongChiTiet!$K$6:$K$78&gt;=H$16)*6_PhanCongChiTiet!$L$6:$L$78/(6_PhanCongChiTiet!$K$6:$K$78-6_PhanCongChiTiet!$J$6:$J$78+1))</f>
        <v>26</v>
      </c>
      <c r="I19" s="41" t="n">
        <f aca="false">SUMPRODUCT(((6_PhanCongChiTiet!$D$6:$D$78=$A19)+(6_PhanCongChiTiet!$D$6:$D$78="ALL"))*(6_PhanCongChiTiet!$J$6:$J$78&lt;=I$16)*(6_PhanCongChiTiet!$K$6:$K$78&gt;=I$16)*6_PhanCongChiTiet!$L$6:$L$78/(6_PhanCongChiTiet!$K$6:$K$78-6_PhanCongChiTiet!$J$6:$J$78+1))</f>
        <v>18</v>
      </c>
      <c r="J19" s="42" t="n">
        <f aca="false">SUM(B19:I19)</f>
        <v>180</v>
      </c>
    </row>
    <row r="20" customFormat="false" ht="15" hidden="false" customHeight="false" outlineLevel="0" collapsed="false">
      <c r="A20" s="45" t="s">
        <v>85</v>
      </c>
      <c r="B20" s="41" t="n">
        <f aca="false">SUMPRODUCT(((6_PhanCongChiTiet!$D$6:$D$78=$A20)+(6_PhanCongChiTiet!$D$6:$D$78="ALL"))*(6_PhanCongChiTiet!$J$6:$J$78&lt;=B$16)*(6_PhanCongChiTiet!$K$6:$K$78&gt;=B$16)*6_PhanCongChiTiet!$L$6:$L$78/(6_PhanCongChiTiet!$K$6:$K$78-6_PhanCongChiTiet!$J$6:$J$78+1))</f>
        <v>14</v>
      </c>
      <c r="C20" s="41" t="n">
        <f aca="false">SUMPRODUCT(((6_PhanCongChiTiet!$D$6:$D$78=$A20)+(6_PhanCongChiTiet!$D$6:$D$78="ALL"))*(6_PhanCongChiTiet!$J$6:$J$78&lt;=C$16)*(6_PhanCongChiTiet!$K$6:$K$78&gt;=C$16)*6_PhanCongChiTiet!$L$6:$L$78/(6_PhanCongChiTiet!$K$6:$K$78-6_PhanCongChiTiet!$J$6:$J$78+1))</f>
        <v>8</v>
      </c>
      <c r="D20" s="41" t="n">
        <f aca="false">SUMPRODUCT(((6_PhanCongChiTiet!$D$6:$D$78=$A20)+(6_PhanCongChiTiet!$D$6:$D$78="ALL"))*(6_PhanCongChiTiet!$J$6:$J$78&lt;=D$16)*(6_PhanCongChiTiet!$K$6:$K$78&gt;=D$16)*6_PhanCongChiTiet!$L$6:$L$78/(6_PhanCongChiTiet!$K$6:$K$78-6_PhanCongChiTiet!$J$6:$J$78+1))</f>
        <v>2</v>
      </c>
      <c r="E20" s="41" t="n">
        <f aca="false">SUMPRODUCT(((6_PhanCongChiTiet!$D$6:$D$78=$A20)+(6_PhanCongChiTiet!$D$6:$D$78="ALL"))*(6_PhanCongChiTiet!$J$6:$J$78&lt;=E$16)*(6_PhanCongChiTiet!$K$6:$K$78&gt;=E$16)*6_PhanCongChiTiet!$L$6:$L$78/(6_PhanCongChiTiet!$K$6:$K$78-6_PhanCongChiTiet!$J$6:$J$78+1))</f>
        <v>2</v>
      </c>
      <c r="F20" s="41" t="n">
        <f aca="false">SUMPRODUCT(((6_PhanCongChiTiet!$D$6:$D$78=$A20)+(6_PhanCongChiTiet!$D$6:$D$78="ALL"))*(6_PhanCongChiTiet!$J$6:$J$78&lt;=F$16)*(6_PhanCongChiTiet!$K$6:$K$78&gt;=F$16)*6_PhanCongChiTiet!$L$6:$L$78/(6_PhanCongChiTiet!$K$6:$K$78-6_PhanCongChiTiet!$J$6:$J$78+1))</f>
        <v>16</v>
      </c>
      <c r="G20" s="41" t="n">
        <f aca="false">SUMPRODUCT(((6_PhanCongChiTiet!$D$6:$D$78=$A20)+(6_PhanCongChiTiet!$D$6:$D$78="ALL"))*(6_PhanCongChiTiet!$J$6:$J$78&lt;=G$16)*(6_PhanCongChiTiet!$K$6:$K$78&gt;=G$16)*6_PhanCongChiTiet!$L$6:$L$78/(6_PhanCongChiTiet!$K$6:$K$78-6_PhanCongChiTiet!$J$6:$J$78+1))</f>
        <v>38</v>
      </c>
      <c r="H20" s="41" t="n">
        <f aca="false">SUMPRODUCT(((6_PhanCongChiTiet!$D$6:$D$78=$A20)+(6_PhanCongChiTiet!$D$6:$D$78="ALL"))*(6_PhanCongChiTiet!$J$6:$J$78&lt;=H$16)*(6_PhanCongChiTiet!$K$6:$K$78&gt;=H$16)*6_PhanCongChiTiet!$L$6:$L$78/(6_PhanCongChiTiet!$K$6:$K$78-6_PhanCongChiTiet!$J$6:$J$78+1))</f>
        <v>50</v>
      </c>
      <c r="I20" s="41" t="n">
        <f aca="false">SUMPRODUCT(((6_PhanCongChiTiet!$D$6:$D$78=$A20)+(6_PhanCongChiTiet!$D$6:$D$78="ALL"))*(6_PhanCongChiTiet!$J$6:$J$78&lt;=I$16)*(6_PhanCongChiTiet!$K$6:$K$78&gt;=I$16)*6_PhanCongChiTiet!$L$6:$L$78/(6_PhanCongChiTiet!$K$6:$K$78-6_PhanCongChiTiet!$J$6:$J$78+1))</f>
        <v>50</v>
      </c>
      <c r="J20" s="42" t="n">
        <f aca="false">SUM(B20:I20)</f>
        <v>180</v>
      </c>
    </row>
    <row r="21" customFormat="false" ht="15" hidden="false" customHeight="false" outlineLevel="0" collapsed="false">
      <c r="A21" s="27" t="s">
        <v>1220</v>
      </c>
      <c r="F21" s="10" t="str">
        <f aca="false">IF(ABS(SUM(J17:J20)-(F9+F10+F11+F12))&lt;0.01,"OK","LỆCH – kiểm tra tuần BĐ/KT")</f>
        <v>OK</v>
      </c>
    </row>
    <row r="23" customFormat="false" ht="15" hidden="false" customHeight="false" outlineLevel="0" collapsed="false">
      <c r="A23" s="4" t="s">
        <v>1221</v>
      </c>
      <c r="B23" s="5"/>
      <c r="C23" s="5"/>
      <c r="D23" s="5"/>
      <c r="E23" s="5"/>
      <c r="F23" s="5"/>
      <c r="G23" s="5"/>
      <c r="H23" s="5"/>
      <c r="I23" s="5"/>
      <c r="J23" s="5"/>
      <c r="K23" s="5"/>
    </row>
    <row r="24" customFormat="false" ht="15" hidden="false" customHeight="false" outlineLevel="0" collapsed="false">
      <c r="A24" s="46" t="s">
        <v>1222</v>
      </c>
      <c r="B24" s="46" t="s">
        <v>1223</v>
      </c>
      <c r="C24" s="46" t="s">
        <v>82</v>
      </c>
      <c r="D24" s="46"/>
      <c r="E24" s="46" t="s">
        <v>83</v>
      </c>
      <c r="F24" s="46"/>
      <c r="G24" s="46" t="s">
        <v>84</v>
      </c>
      <c r="H24" s="46"/>
      <c r="I24" s="46" t="s">
        <v>85</v>
      </c>
      <c r="J24" s="46"/>
      <c r="K24" s="46" t="s">
        <v>1224</v>
      </c>
    </row>
    <row r="25" customFormat="false" ht="61.5" hidden="false" customHeight="true" outlineLevel="0" collapsed="false">
      <c r="A25" s="23" t="s">
        <v>1225</v>
      </c>
      <c r="B25" s="23" t="s">
        <v>1226</v>
      </c>
      <c r="C25" s="9" t="s">
        <v>1227</v>
      </c>
      <c r="D25" s="9"/>
      <c r="E25" s="9" t="s">
        <v>1228</v>
      </c>
      <c r="F25" s="9"/>
      <c r="G25" s="9" t="s">
        <v>1229</v>
      </c>
      <c r="H25" s="9"/>
      <c r="I25" s="9" t="s">
        <v>1230</v>
      </c>
      <c r="J25" s="9"/>
      <c r="K25" s="9" t="s">
        <v>1231</v>
      </c>
    </row>
    <row r="26" customFormat="false" ht="61.5" hidden="false" customHeight="true" outlineLevel="0" collapsed="false">
      <c r="A26" s="23" t="s">
        <v>1232</v>
      </c>
      <c r="B26" s="23" t="s">
        <v>142</v>
      </c>
      <c r="C26" s="9" t="s">
        <v>1233</v>
      </c>
      <c r="D26" s="9"/>
      <c r="E26" s="9" t="s">
        <v>1234</v>
      </c>
      <c r="F26" s="9"/>
      <c r="G26" s="9" t="s">
        <v>1235</v>
      </c>
      <c r="H26" s="9"/>
      <c r="I26" s="9" t="s">
        <v>1236</v>
      </c>
      <c r="J26" s="9"/>
      <c r="K26" s="9" t="s">
        <v>1237</v>
      </c>
    </row>
    <row r="27" customFormat="false" ht="61.5" hidden="false" customHeight="true" outlineLevel="0" collapsed="false">
      <c r="A27" s="23" t="s">
        <v>1238</v>
      </c>
      <c r="B27" s="23" t="s">
        <v>1239</v>
      </c>
      <c r="C27" s="9" t="s">
        <v>1240</v>
      </c>
      <c r="D27" s="9"/>
      <c r="E27" s="9" t="s">
        <v>1241</v>
      </c>
      <c r="F27" s="9"/>
      <c r="G27" s="9" t="s">
        <v>1242</v>
      </c>
      <c r="H27" s="9"/>
      <c r="I27" s="9" t="s">
        <v>1243</v>
      </c>
      <c r="J27" s="9"/>
      <c r="K27" s="9" t="s">
        <v>1244</v>
      </c>
    </row>
    <row r="28" customFormat="false" ht="61.5" hidden="false" customHeight="true" outlineLevel="0" collapsed="false">
      <c r="A28" s="23" t="s">
        <v>1245</v>
      </c>
      <c r="B28" s="23" t="s">
        <v>1246</v>
      </c>
      <c r="C28" s="9" t="s">
        <v>1247</v>
      </c>
      <c r="D28" s="9"/>
      <c r="E28" s="9" t="s">
        <v>1248</v>
      </c>
      <c r="F28" s="9"/>
      <c r="G28" s="9" t="s">
        <v>1249</v>
      </c>
      <c r="H28" s="9"/>
      <c r="I28" s="9" t="s">
        <v>1250</v>
      </c>
      <c r="J28" s="9"/>
      <c r="K28" s="9" t="s">
        <v>1251</v>
      </c>
    </row>
    <row r="29" customFormat="false" ht="61.5" hidden="false" customHeight="true" outlineLevel="0" collapsed="false">
      <c r="A29" s="23" t="s">
        <v>1252</v>
      </c>
      <c r="B29" s="23" t="s">
        <v>1253</v>
      </c>
      <c r="C29" s="9" t="s">
        <v>1254</v>
      </c>
      <c r="D29" s="9"/>
      <c r="E29" s="9" t="s">
        <v>1255</v>
      </c>
      <c r="F29" s="9"/>
      <c r="G29" s="9" t="s">
        <v>1256</v>
      </c>
      <c r="H29" s="9"/>
      <c r="I29" s="9" t="s">
        <v>1257</v>
      </c>
      <c r="J29" s="9"/>
      <c r="K29" s="9" t="s">
        <v>1258</v>
      </c>
    </row>
    <row r="30" customFormat="false" ht="61.5" hidden="false" customHeight="true" outlineLevel="0" collapsed="false">
      <c r="A30" s="23" t="s">
        <v>1259</v>
      </c>
      <c r="B30" s="23" t="s">
        <v>273</v>
      </c>
      <c r="C30" s="9" t="s">
        <v>1260</v>
      </c>
      <c r="D30" s="9"/>
      <c r="E30" s="9" t="s">
        <v>1261</v>
      </c>
      <c r="F30" s="9"/>
      <c r="G30" s="9" t="s">
        <v>1262</v>
      </c>
      <c r="H30" s="9"/>
      <c r="I30" s="9" t="s">
        <v>1263</v>
      </c>
      <c r="J30" s="9"/>
      <c r="K30" s="9" t="s">
        <v>1264</v>
      </c>
    </row>
    <row r="31" customFormat="false" ht="61.5" hidden="false" customHeight="true" outlineLevel="0" collapsed="false">
      <c r="A31" s="23" t="s">
        <v>1265</v>
      </c>
      <c r="B31" s="23" t="s">
        <v>1266</v>
      </c>
      <c r="C31" s="9" t="s">
        <v>1267</v>
      </c>
      <c r="D31" s="9"/>
      <c r="E31" s="9" t="s">
        <v>1268</v>
      </c>
      <c r="F31" s="9"/>
      <c r="G31" s="9" t="s">
        <v>1269</v>
      </c>
      <c r="H31" s="9"/>
      <c r="I31" s="9" t="s">
        <v>1270</v>
      </c>
      <c r="J31" s="9"/>
      <c r="K31" s="9" t="s">
        <v>1271</v>
      </c>
    </row>
    <row r="32" customFormat="false" ht="61.5" hidden="false" customHeight="true" outlineLevel="0" collapsed="false">
      <c r="A32" s="23" t="s">
        <v>1272</v>
      </c>
      <c r="B32" s="23" t="s">
        <v>1273</v>
      </c>
      <c r="C32" s="9" t="s">
        <v>1274</v>
      </c>
      <c r="D32" s="9"/>
      <c r="E32" s="9" t="s">
        <v>1275</v>
      </c>
      <c r="F32" s="9"/>
      <c r="G32" s="9" t="s">
        <v>1276</v>
      </c>
      <c r="H32" s="9"/>
      <c r="I32" s="9" t="s">
        <v>1277</v>
      </c>
      <c r="J32" s="9"/>
      <c r="K32" s="9" t="s">
        <v>1278</v>
      </c>
    </row>
  </sheetData>
  <mergeCells count="36">
    <mergeCell ref="C24:D24"/>
    <mergeCell ref="E24:F24"/>
    <mergeCell ref="G24:H24"/>
    <mergeCell ref="I24:J24"/>
    <mergeCell ref="C25:D25"/>
    <mergeCell ref="E25:F25"/>
    <mergeCell ref="G25:H25"/>
    <mergeCell ref="I25:J25"/>
    <mergeCell ref="C26:D26"/>
    <mergeCell ref="E26:F26"/>
    <mergeCell ref="G26:H26"/>
    <mergeCell ref="I26:J26"/>
    <mergeCell ref="C27:D27"/>
    <mergeCell ref="E27:F27"/>
    <mergeCell ref="G27:H27"/>
    <mergeCell ref="I27:J27"/>
    <mergeCell ref="C28:D28"/>
    <mergeCell ref="E28:F28"/>
    <mergeCell ref="G28:H28"/>
    <mergeCell ref="I28:J28"/>
    <mergeCell ref="C29:D29"/>
    <mergeCell ref="E29:F29"/>
    <mergeCell ref="G29:H29"/>
    <mergeCell ref="I29:J29"/>
    <mergeCell ref="C30:D30"/>
    <mergeCell ref="E30:F30"/>
    <mergeCell ref="G30:H30"/>
    <mergeCell ref="I30:J30"/>
    <mergeCell ref="C31:D31"/>
    <mergeCell ref="E31:F31"/>
    <mergeCell ref="G31:H31"/>
    <mergeCell ref="I31:J31"/>
    <mergeCell ref="C32:D32"/>
    <mergeCell ref="E32:F32"/>
    <mergeCell ref="G32:H32"/>
    <mergeCell ref="I32:J32"/>
  </mergeCells>
  <conditionalFormatting sqref="B17:I20">
    <cfRule type="colorScale" priority="2">
      <colorScale>
        <cfvo type="min" val="0"/>
        <cfvo type="max" val="0"/>
        <color rgb="FFFFFFFF"/>
        <color rgb="FFF4B183"/>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3A"/>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90"/>
    <col collapsed="false" customWidth="true" hidden="false" outlineLevel="0" max="5" min="3" style="0" width="14"/>
  </cols>
  <sheetData>
    <row r="1" customFormat="false" ht="25.5" hidden="false" customHeight="true" outlineLevel="0" collapsed="false">
      <c r="A1" s="1" t="s">
        <v>1279</v>
      </c>
    </row>
    <row r="2" customFormat="false" ht="15" hidden="false" customHeight="false" outlineLevel="0" collapsed="false">
      <c r="A2" s="2" t="s">
        <v>1280</v>
      </c>
    </row>
    <row r="3" customFormat="false" ht="15" hidden="false" customHeight="false" outlineLevel="0" collapsed="false">
      <c r="A3" s="3"/>
      <c r="B3" s="3"/>
      <c r="C3" s="3"/>
      <c r="D3" s="3"/>
      <c r="E3" s="3"/>
    </row>
    <row r="5" customFormat="false" ht="15" hidden="false" customHeight="false" outlineLevel="0" collapsed="false">
      <c r="A5" s="4" t="s">
        <v>1281</v>
      </c>
      <c r="B5" s="5"/>
      <c r="C5" s="5"/>
      <c r="D5" s="5"/>
      <c r="E5" s="5"/>
    </row>
    <row r="6" customFormat="false" ht="30" hidden="false" customHeight="true" outlineLevel="0" collapsed="false">
      <c r="A6" s="8" t="s">
        <v>1282</v>
      </c>
      <c r="B6" s="8" t="s">
        <v>1283</v>
      </c>
      <c r="C6" s="8" t="s">
        <v>139</v>
      </c>
    </row>
    <row r="7" customFormat="false" ht="15" hidden="false" customHeight="false" outlineLevel="0" collapsed="false">
      <c r="A7" s="9" t="s">
        <v>1284</v>
      </c>
      <c r="B7" s="9" t="s">
        <v>1285</v>
      </c>
      <c r="C7" s="9" t="s">
        <v>82</v>
      </c>
    </row>
    <row r="8" customFormat="false" ht="15" hidden="false" customHeight="false" outlineLevel="0" collapsed="false">
      <c r="A8" s="9" t="s">
        <v>1286</v>
      </c>
      <c r="B8" s="9" t="s">
        <v>1287</v>
      </c>
      <c r="C8" s="9" t="s">
        <v>82</v>
      </c>
    </row>
    <row r="9" customFormat="false" ht="15" hidden="false" customHeight="false" outlineLevel="0" collapsed="false">
      <c r="A9" s="9" t="s">
        <v>1288</v>
      </c>
      <c r="B9" s="9" t="s">
        <v>1289</v>
      </c>
      <c r="C9" s="9" t="s">
        <v>83</v>
      </c>
    </row>
    <row r="10" customFormat="false" ht="15" hidden="false" customHeight="false" outlineLevel="0" collapsed="false">
      <c r="A10" s="9" t="s">
        <v>1290</v>
      </c>
      <c r="B10" s="9" t="s">
        <v>1291</v>
      </c>
      <c r="C10" s="9" t="s">
        <v>83</v>
      </c>
    </row>
    <row r="11" customFormat="false" ht="15" hidden="false" customHeight="false" outlineLevel="0" collapsed="false">
      <c r="A11" s="9" t="s">
        <v>1292</v>
      </c>
      <c r="B11" s="9" t="s">
        <v>1293</v>
      </c>
      <c r="C11" s="9" t="s">
        <v>82</v>
      </c>
    </row>
    <row r="12" customFormat="false" ht="15" hidden="false" customHeight="false" outlineLevel="0" collapsed="false">
      <c r="A12" s="9" t="s">
        <v>1294</v>
      </c>
      <c r="B12" s="9" t="s">
        <v>1295</v>
      </c>
      <c r="C12" s="9" t="s">
        <v>82</v>
      </c>
    </row>
    <row r="13" customFormat="false" ht="15" hidden="false" customHeight="false" outlineLevel="0" collapsed="false">
      <c r="A13" s="9" t="s">
        <v>1296</v>
      </c>
      <c r="B13" s="9" t="s">
        <v>1297</v>
      </c>
      <c r="C13" s="9" t="s">
        <v>82</v>
      </c>
    </row>
    <row r="14" customFormat="false" ht="15" hidden="false" customHeight="false" outlineLevel="0" collapsed="false">
      <c r="A14" s="9" t="s">
        <v>1298</v>
      </c>
      <c r="B14" s="9" t="s">
        <v>1299</v>
      </c>
      <c r="C14" s="9" t="s">
        <v>82</v>
      </c>
    </row>
    <row r="15" customFormat="false" ht="15" hidden="false" customHeight="false" outlineLevel="0" collapsed="false">
      <c r="A15" s="9" t="s">
        <v>1300</v>
      </c>
      <c r="B15" s="9" t="s">
        <v>1301</v>
      </c>
      <c r="C15" s="9" t="s">
        <v>83</v>
      </c>
    </row>
    <row r="16" customFormat="false" ht="15" hidden="false" customHeight="false" outlineLevel="0" collapsed="false">
      <c r="A16" s="9" t="s">
        <v>1302</v>
      </c>
      <c r="B16" s="9" t="s">
        <v>1303</v>
      </c>
      <c r="C16" s="9" t="s">
        <v>83</v>
      </c>
    </row>
    <row r="17" customFormat="false" ht="15" hidden="false" customHeight="false" outlineLevel="0" collapsed="false">
      <c r="A17" s="9" t="s">
        <v>1304</v>
      </c>
      <c r="B17" s="9" t="s">
        <v>1305</v>
      </c>
      <c r="C17" s="9" t="s">
        <v>83</v>
      </c>
    </row>
    <row r="18" customFormat="false" ht="15" hidden="false" customHeight="false" outlineLevel="0" collapsed="false">
      <c r="A18" s="9" t="s">
        <v>1306</v>
      </c>
      <c r="B18" s="9" t="s">
        <v>1307</v>
      </c>
      <c r="C18" s="9" t="s">
        <v>83</v>
      </c>
    </row>
    <row r="19" customFormat="false" ht="15" hidden="false" customHeight="false" outlineLevel="0" collapsed="false">
      <c r="A19" s="9" t="s">
        <v>1308</v>
      </c>
      <c r="B19" s="9" t="s">
        <v>1309</v>
      </c>
      <c r="C19" s="9" t="s">
        <v>83</v>
      </c>
    </row>
    <row r="20" customFormat="false" ht="15" hidden="false" customHeight="false" outlineLevel="0" collapsed="false">
      <c r="A20" s="9" t="s">
        <v>1310</v>
      </c>
      <c r="B20" s="9" t="s">
        <v>1311</v>
      </c>
      <c r="C20" s="9" t="s">
        <v>83</v>
      </c>
    </row>
    <row r="22" customFormat="false" ht="15" hidden="false" customHeight="false" outlineLevel="0" collapsed="false">
      <c r="A22" s="4" t="s">
        <v>1312</v>
      </c>
      <c r="B22" s="5"/>
      <c r="C22" s="5"/>
      <c r="D22" s="5"/>
      <c r="E22" s="5"/>
    </row>
    <row r="23" customFormat="false" ht="30" hidden="false" customHeight="true" outlineLevel="0" collapsed="false">
      <c r="A23" s="8" t="s">
        <v>327</v>
      </c>
      <c r="B23" s="8" t="s">
        <v>1313</v>
      </c>
    </row>
    <row r="24" customFormat="false" ht="15" hidden="false" customHeight="false" outlineLevel="0" collapsed="false">
      <c r="A24" s="9" t="s">
        <v>1314</v>
      </c>
      <c r="B24" s="9" t="s">
        <v>1315</v>
      </c>
    </row>
    <row r="25" customFormat="false" ht="15" hidden="false" customHeight="false" outlineLevel="0" collapsed="false">
      <c r="A25" s="9" t="s">
        <v>1316</v>
      </c>
      <c r="B25" s="9" t="s">
        <v>1317</v>
      </c>
    </row>
    <row r="26" customFormat="false" ht="15" hidden="false" customHeight="false" outlineLevel="0" collapsed="false">
      <c r="A26" s="9" t="s">
        <v>1318</v>
      </c>
      <c r="B26" s="9" t="s">
        <v>1319</v>
      </c>
    </row>
    <row r="27" customFormat="false" ht="23.85" hidden="false" customHeight="false" outlineLevel="0" collapsed="false">
      <c r="A27" s="9" t="s">
        <v>1320</v>
      </c>
      <c r="B27" s="9" t="s">
        <v>1321</v>
      </c>
    </row>
    <row r="28" customFormat="false" ht="15" hidden="false" customHeight="false" outlineLevel="0" collapsed="false">
      <c r="A28" s="9" t="s">
        <v>1322</v>
      </c>
      <c r="B28" s="9" t="s">
        <v>1323</v>
      </c>
    </row>
    <row r="29" customFormat="false" ht="15" hidden="false" customHeight="false" outlineLevel="0" collapsed="false">
      <c r="A29" s="9" t="s">
        <v>1324</v>
      </c>
      <c r="B29" s="9" t="s">
        <v>1325</v>
      </c>
    </row>
    <row r="30" customFormat="false" ht="15" hidden="false" customHeight="false" outlineLevel="0" collapsed="false">
      <c r="A30" s="9" t="s">
        <v>1326</v>
      </c>
      <c r="B30" s="9" t="s">
        <v>1327</v>
      </c>
    </row>
    <row r="31" customFormat="false" ht="23.85" hidden="false" customHeight="false" outlineLevel="0" collapsed="false">
      <c r="A31" s="9" t="s">
        <v>1328</v>
      </c>
      <c r="B31" s="9" t="s">
        <v>1329</v>
      </c>
    </row>
    <row r="33" customFormat="false" ht="15" hidden="false" customHeight="false" outlineLevel="0" collapsed="false">
      <c r="A33" s="4" t="s">
        <v>1330</v>
      </c>
      <c r="B33" s="5"/>
      <c r="C33" s="5"/>
      <c r="D33" s="5"/>
      <c r="E33" s="5"/>
    </row>
    <row r="34" customFormat="false" ht="30" hidden="false" customHeight="true" outlineLevel="0" collapsed="false">
      <c r="A34" s="8" t="s">
        <v>1331</v>
      </c>
      <c r="B34" s="8" t="s">
        <v>1332</v>
      </c>
      <c r="C34" s="8" t="s">
        <v>1333</v>
      </c>
      <c r="D34" s="8" t="s">
        <v>1334</v>
      </c>
      <c r="E34" s="8" t="s">
        <v>139</v>
      </c>
    </row>
    <row r="35" customFormat="false" ht="23.85" hidden="false" customHeight="false" outlineLevel="0" collapsed="false">
      <c r="A35" s="9" t="s">
        <v>1335</v>
      </c>
      <c r="B35" s="9" t="s">
        <v>1336</v>
      </c>
      <c r="C35" s="9" t="s">
        <v>1337</v>
      </c>
      <c r="D35" s="9" t="s">
        <v>1337</v>
      </c>
      <c r="E35" s="9" t="s">
        <v>82</v>
      </c>
    </row>
    <row r="36" customFormat="false" ht="15" hidden="false" customHeight="false" outlineLevel="0" collapsed="false">
      <c r="A36" s="9" t="s">
        <v>1338</v>
      </c>
      <c r="B36" s="9" t="s">
        <v>1339</v>
      </c>
      <c r="C36" s="9" t="s">
        <v>1340</v>
      </c>
      <c r="D36" s="9" t="s">
        <v>1337</v>
      </c>
      <c r="E36" s="9" t="s">
        <v>82</v>
      </c>
    </row>
    <row r="37" customFormat="false" ht="23.85" hidden="false" customHeight="false" outlineLevel="0" collapsed="false">
      <c r="A37" s="9" t="s">
        <v>1341</v>
      </c>
      <c r="B37" s="9" t="s">
        <v>1342</v>
      </c>
      <c r="C37" s="9" t="s">
        <v>1337</v>
      </c>
      <c r="D37" s="9" t="s">
        <v>1340</v>
      </c>
      <c r="E37" s="9" t="s">
        <v>66</v>
      </c>
    </row>
    <row r="38" customFormat="false" ht="15" hidden="false" customHeight="false" outlineLevel="0" collapsed="false">
      <c r="A38" s="9" t="s">
        <v>1343</v>
      </c>
      <c r="B38" s="9" t="s">
        <v>1344</v>
      </c>
      <c r="C38" s="9" t="s">
        <v>1340</v>
      </c>
      <c r="D38" s="9" t="s">
        <v>1337</v>
      </c>
      <c r="E38" s="9" t="s">
        <v>82</v>
      </c>
    </row>
    <row r="39" customFormat="false" ht="15" hidden="false" customHeight="false" outlineLevel="0" collapsed="false">
      <c r="A39" s="9" t="s">
        <v>1345</v>
      </c>
      <c r="B39" s="9" t="s">
        <v>1346</v>
      </c>
      <c r="C39" s="9" t="s">
        <v>1337</v>
      </c>
      <c r="D39" s="9" t="s">
        <v>1337</v>
      </c>
      <c r="E39" s="9" t="s">
        <v>66</v>
      </c>
    </row>
    <row r="40" customFormat="false" ht="15" hidden="false" customHeight="false" outlineLevel="0" collapsed="false">
      <c r="A40" s="9" t="s">
        <v>1347</v>
      </c>
      <c r="B40" s="9" t="s">
        <v>1348</v>
      </c>
      <c r="C40" s="9" t="s">
        <v>1340</v>
      </c>
      <c r="D40" s="9" t="s">
        <v>1340</v>
      </c>
      <c r="E40" s="9" t="s">
        <v>83</v>
      </c>
    </row>
    <row r="41" customFormat="false" ht="15" hidden="false" customHeight="false" outlineLevel="0" collapsed="false">
      <c r="A41" s="9" t="s">
        <v>1349</v>
      </c>
      <c r="B41" s="9" t="s">
        <v>1350</v>
      </c>
      <c r="C41" s="9" t="s">
        <v>1337</v>
      </c>
      <c r="D41" s="9" t="s">
        <v>1337</v>
      </c>
      <c r="E41" s="9" t="s">
        <v>83</v>
      </c>
    </row>
    <row r="42" customFormat="false" ht="15" hidden="false" customHeight="false" outlineLevel="0" collapsed="false">
      <c r="A42" s="9" t="s">
        <v>1351</v>
      </c>
      <c r="B42" s="9" t="s">
        <v>1352</v>
      </c>
      <c r="C42" s="9" t="s">
        <v>1340</v>
      </c>
      <c r="D42" s="9" t="s">
        <v>1340</v>
      </c>
      <c r="E42" s="9" t="s">
        <v>1353</v>
      </c>
    </row>
    <row r="43" customFormat="false" ht="15" hidden="false" customHeight="false" outlineLevel="0" collapsed="false">
      <c r="A43" s="9" t="s">
        <v>1354</v>
      </c>
      <c r="B43" s="9" t="s">
        <v>1355</v>
      </c>
      <c r="C43" s="9" t="s">
        <v>1340</v>
      </c>
      <c r="D43" s="9" t="s">
        <v>1337</v>
      </c>
      <c r="E43" s="9" t="s">
        <v>1356</v>
      </c>
    </row>
    <row r="44" customFormat="false" ht="15" hidden="false" customHeight="false" outlineLevel="0" collapsed="false">
      <c r="A44" s="9" t="s">
        <v>1357</v>
      </c>
      <c r="B44" s="9" t="s">
        <v>1358</v>
      </c>
      <c r="C44" s="9" t="s">
        <v>1340</v>
      </c>
      <c r="D44" s="9" t="s">
        <v>1337</v>
      </c>
      <c r="E44" s="9" t="s">
        <v>1353</v>
      </c>
    </row>
    <row r="45" customFormat="false" ht="15" hidden="false" customHeight="false" outlineLevel="0" collapsed="false">
      <c r="A45" s="9" t="s">
        <v>1359</v>
      </c>
      <c r="B45" s="9" t="s">
        <v>1360</v>
      </c>
      <c r="C45" s="9" t="s">
        <v>1361</v>
      </c>
      <c r="D45" s="9" t="s">
        <v>1340</v>
      </c>
      <c r="E45" s="9"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2026-09-28T01:33:41Z</dcterms:created>
  <dc:creator>openpyxl</dc:creator>
  <dc:description/>
  <dc:language>en-US</dc:language>
  <cp:lastModifiedBy/>
  <dcterms:modified xsi:type="dcterms:W3CDTF">2026-09-28T01:33:41Z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